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uman.Khan\Downloads\rujuta\fwdl00187612\"/>
    </mc:Choice>
  </mc:AlternateContent>
  <xr:revisionPtr revIDLastSave="0" documentId="13_ncr:1_{B18CDAF0-AFCC-4177-86DC-0F9AB9740FAC}" xr6:coauthVersionLast="47" xr6:coauthVersionMax="47" xr10:uidLastSave="{00000000-0000-0000-0000-000000000000}"/>
  <bookViews>
    <workbookView xWindow="-108" yWindow="-108" windowWidth="23256" windowHeight="13896" xr2:uid="{92A1B952-BA2E-444A-A65F-73EFB9891AB8}"/>
  </bookViews>
  <sheets>
    <sheet name="VM and Cluster Sizing" sheetId="1" r:id="rId1"/>
    <sheet name="Storage Sizing" sheetId="3" r:id="rId2"/>
    <sheet name="Site Replication" sheetId="4" r:id="rId3"/>
    <sheet name="Bill of Materials" sheetId="5" r:id="rId4"/>
    <sheet name="Power and Rack" sheetId="6" r:id="rId5"/>
    <sheet name="Product Catalogu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6" l="1"/>
  <c r="B20" i="6"/>
  <c r="B25" i="3"/>
  <c r="D19" i="3"/>
  <c r="D18" i="3"/>
  <c r="D17" i="3"/>
  <c r="D16" i="3"/>
  <c r="D15" i="3"/>
  <c r="D14" i="3"/>
  <c r="E55" i="5"/>
  <c r="D55" i="5"/>
  <c r="C55" i="5"/>
  <c r="B55" i="5"/>
  <c r="D54" i="5"/>
  <c r="C54" i="5"/>
  <c r="B54" i="5"/>
  <c r="E53" i="5"/>
  <c r="D53" i="5"/>
  <c r="C53" i="5"/>
  <c r="B53" i="5"/>
  <c r="E52" i="5"/>
  <c r="D52" i="5"/>
  <c r="C52" i="5"/>
  <c r="B52" i="5"/>
  <c r="I48" i="5"/>
  <c r="H48" i="5"/>
  <c r="F48" i="5"/>
  <c r="I47" i="5"/>
  <c r="H47" i="5"/>
  <c r="F47" i="5"/>
  <c r="I46" i="5"/>
  <c r="H46" i="5"/>
  <c r="F46" i="5"/>
  <c r="I45" i="5"/>
  <c r="H45" i="5"/>
  <c r="F45" i="5"/>
  <c r="I44" i="5"/>
  <c r="H44" i="5"/>
  <c r="F44" i="5"/>
  <c r="I43" i="5"/>
  <c r="H43" i="5"/>
  <c r="F43" i="5"/>
  <c r="I42" i="5"/>
  <c r="H42" i="5"/>
  <c r="F42" i="5"/>
  <c r="I41" i="5"/>
  <c r="H41" i="5"/>
  <c r="F41" i="5"/>
  <c r="I40" i="5"/>
  <c r="H40" i="5"/>
  <c r="F40" i="5"/>
  <c r="I39" i="5"/>
  <c r="H39" i="5"/>
  <c r="F39" i="5"/>
  <c r="I38" i="5"/>
  <c r="H38" i="5"/>
  <c r="F38" i="5"/>
  <c r="I37" i="5"/>
  <c r="H37" i="5"/>
  <c r="F37" i="5"/>
  <c r="I36" i="5"/>
  <c r="H36" i="5"/>
  <c r="F36" i="5"/>
  <c r="I35" i="5"/>
  <c r="H35" i="5"/>
  <c r="F35" i="5"/>
  <c r="I34" i="5"/>
  <c r="H34" i="5"/>
  <c r="F34" i="5"/>
  <c r="I33" i="5"/>
  <c r="H33" i="5"/>
  <c r="F33" i="5"/>
  <c r="K29" i="5"/>
  <c r="J29" i="5"/>
  <c r="H29" i="5"/>
  <c r="G29" i="5"/>
  <c r="E29" i="5"/>
  <c r="K28" i="5"/>
  <c r="J28" i="5"/>
  <c r="H28" i="5"/>
  <c r="G28" i="5"/>
  <c r="E28" i="5"/>
  <c r="K27" i="5"/>
  <c r="J27" i="5"/>
  <c r="H27" i="5"/>
  <c r="G27" i="5"/>
  <c r="E27" i="5"/>
  <c r="K26" i="5"/>
  <c r="J26" i="5"/>
  <c r="H26" i="5"/>
  <c r="G26" i="5"/>
  <c r="E26" i="5"/>
  <c r="K25" i="5"/>
  <c r="H25" i="5"/>
  <c r="G25" i="5"/>
  <c r="E25" i="5"/>
  <c r="K24" i="5"/>
  <c r="J24" i="5"/>
  <c r="H24" i="5"/>
  <c r="G24" i="5"/>
  <c r="E24" i="5"/>
  <c r="K20" i="5"/>
  <c r="J20" i="5"/>
  <c r="H20" i="5"/>
  <c r="G20" i="5"/>
  <c r="E20" i="5"/>
  <c r="K19" i="5"/>
  <c r="H19" i="5"/>
  <c r="G19" i="5"/>
  <c r="E19" i="5"/>
  <c r="K18" i="5"/>
  <c r="H18" i="5"/>
  <c r="G18" i="5"/>
  <c r="E18" i="5"/>
  <c r="K17" i="5"/>
  <c r="H17" i="5"/>
  <c r="G17" i="5"/>
  <c r="E17" i="5"/>
  <c r="K16" i="5"/>
  <c r="J16" i="5"/>
  <c r="H16" i="5"/>
  <c r="G16" i="5"/>
  <c r="E16" i="5"/>
  <c r="K15" i="5"/>
  <c r="J15" i="5"/>
  <c r="H15" i="5"/>
  <c r="G15" i="5"/>
  <c r="E15" i="5"/>
  <c r="K14" i="5"/>
  <c r="H14" i="5"/>
  <c r="G14" i="5"/>
  <c r="E14" i="5"/>
  <c r="K13" i="5"/>
  <c r="J13" i="5"/>
  <c r="H13" i="5"/>
  <c r="G13" i="5"/>
  <c r="E13" i="5"/>
  <c r="K12" i="5"/>
  <c r="J12" i="5"/>
  <c r="H12" i="5"/>
  <c r="G12" i="5"/>
  <c r="E12" i="5"/>
  <c r="K11" i="5"/>
  <c r="J11" i="5"/>
  <c r="H11" i="5"/>
  <c r="G11" i="5"/>
  <c r="E11" i="5"/>
  <c r="K10" i="5"/>
  <c r="J10" i="5"/>
  <c r="H10" i="5"/>
  <c r="G10" i="5"/>
  <c r="E10" i="5"/>
  <c r="K9" i="5"/>
  <c r="J9" i="5"/>
  <c r="H9" i="5"/>
  <c r="G9" i="5"/>
  <c r="E9" i="5"/>
  <c r="K8" i="5"/>
  <c r="J8" i="5"/>
  <c r="H8" i="5"/>
  <c r="G8" i="5"/>
  <c r="E8" i="5"/>
  <c r="K7" i="5"/>
  <c r="J7" i="5"/>
  <c r="H7" i="5"/>
  <c r="G7" i="5"/>
  <c r="E7" i="5"/>
  <c r="K6" i="5"/>
  <c r="J6" i="5"/>
  <c r="H6" i="5"/>
  <c r="G6" i="5"/>
  <c r="E6" i="5"/>
  <c r="K5" i="5"/>
  <c r="J5" i="5"/>
  <c r="H5" i="5"/>
  <c r="G5" i="5"/>
  <c r="E5" i="5"/>
  <c r="C49" i="3"/>
  <c r="D8" i="6"/>
  <c r="D7" i="6"/>
  <c r="B7" i="6"/>
  <c r="D6" i="6"/>
  <c r="B21" i="4"/>
  <c r="B20" i="4"/>
  <c r="B19" i="4"/>
  <c r="B18" i="4"/>
  <c r="B17" i="4"/>
  <c r="B16" i="4"/>
  <c r="B15" i="4"/>
  <c r="B14" i="4"/>
  <c r="B24" i="3"/>
  <c r="B23" i="3"/>
  <c r="B22" i="3"/>
  <c r="B18" i="3"/>
  <c r="B17" i="3"/>
  <c r="B16" i="3"/>
  <c r="B15" i="3"/>
  <c r="B14" i="3"/>
  <c r="B29" i="1"/>
  <c r="B28" i="1"/>
  <c r="B27" i="1"/>
  <c r="B20" i="1"/>
  <c r="B21" i="1" s="1"/>
  <c r="B19" i="1"/>
  <c r="B18" i="1"/>
  <c r="B17" i="1"/>
  <c r="B16" i="1"/>
  <c r="B26" i="3" l="1"/>
  <c r="B28" i="3" s="1"/>
  <c r="B22" i="1"/>
  <c r="B27" i="3" l="1"/>
  <c r="B30" i="1"/>
  <c r="B31" i="1" s="1"/>
  <c r="B23" i="1"/>
  <c r="B5" i="6" l="1"/>
  <c r="D5" i="6" s="1"/>
  <c r="D9" i="6" s="1"/>
  <c r="D11" i="6" s="1"/>
  <c r="D13" i="6" s="1"/>
</calcChain>
</file>

<file path=xl/sharedStrings.xml><?xml version="1.0" encoding="utf-8"?>
<sst xmlns="http://schemas.openxmlformats.org/spreadsheetml/2006/main" count="387" uniqueCount="342">
  <si>
    <t>Electric Petrol DC1 - VM and Cluster Sizing Calculator</t>
  </si>
  <si>
    <t>INPUT PARAMETERS (change these to adjust design)</t>
  </si>
  <si>
    <t>Max Applications</t>
  </si>
  <si>
    <t>Max Instances per Application</t>
  </si>
  <si>
    <t>VMs per Application Instance</t>
  </si>
  <si>
    <t>vCPUs per VM</t>
  </si>
  <si>
    <t>vCPU Overcommit Ratio</t>
  </si>
  <si>
    <t>Servers per Cluster</t>
  </si>
  <si>
    <t>HA Reserved Servers per Cluster (N+1)</t>
  </si>
  <si>
    <t>Memory Overcommit Ratio</t>
  </si>
  <si>
    <t>CALCULATED VALUES</t>
  </si>
  <si>
    <t>Total Maximum VMs</t>
  </si>
  <si>
    <t>Total vCPUs Required</t>
  </si>
  <si>
    <t>Usable vCPUs per Server</t>
  </si>
  <si>
    <t>Usable Servers per Cluster</t>
  </si>
  <si>
    <t>Usable vCPUs per Cluster</t>
  </si>
  <si>
    <t>VMs per Cluster</t>
  </si>
  <si>
    <t>Clusters Required (CPU)</t>
  </si>
  <si>
    <t>Total Compute Servers (CPU)</t>
  </si>
  <si>
    <t>RAM VALIDATION</t>
  </si>
  <si>
    <t>RAM per VM (avg, GB)</t>
  </si>
  <si>
    <t>Total RAM Required (GB)</t>
  </si>
  <si>
    <t>Effective RAM per Cluster (GB)</t>
  </si>
  <si>
    <t>Clusters Required (RAM)</t>
  </si>
  <si>
    <t>CLUSTERS REQUIRED (max of CPU/RAM)</t>
  </si>
  <si>
    <t>TOTAL COMPUTE SERVERS</t>
  </si>
  <si>
    <t>Electric Petrol DC1 - Storage Sizing</t>
  </si>
  <si>
    <t>STORAGE INPUT PARAMETERS</t>
  </si>
  <si>
    <t>Deduplication Ratio</t>
  </si>
  <si>
    <t>Compression Ratio</t>
  </si>
  <si>
    <t>Number of Storage Arrays</t>
  </si>
  <si>
    <t>Expansion Shelves per Array</t>
  </si>
  <si>
    <t>Drives per Shelf</t>
  </si>
  <si>
    <t>Drive Capacity (TB)</t>
  </si>
  <si>
    <t>RAID/Overhead Factor</t>
  </si>
  <si>
    <t>65% usable after RAID and metadata</t>
  </si>
  <si>
    <t>PER-VM STORAGE ALLOCATION</t>
  </si>
  <si>
    <t>VM Role</t>
  </si>
  <si>
    <t>Count (max)</t>
  </si>
  <si>
    <t>Web Server</t>
  </si>
  <si>
    <t>Code Server</t>
  </si>
  <si>
    <t>Database Server</t>
  </si>
  <si>
    <t>AAA Server</t>
  </si>
  <si>
    <t>Logging Server</t>
  </si>
  <si>
    <t>TOTAL GROSS STORAGE (TB)</t>
  </si>
  <si>
    <t>STORAGE CAPACITY CALCULATIONS</t>
  </si>
  <si>
    <t>Raw Capacity (TB)</t>
  </si>
  <si>
    <t>Usable Capacity after RAID (TB)</t>
  </si>
  <si>
    <t>Effective Capacity with Dedup+Compression (TB)</t>
  </si>
  <si>
    <t>Gross Storage Required (TB)</t>
  </si>
  <si>
    <t>Storage Headroom (TB)</t>
  </si>
  <si>
    <t>Headroom %</t>
  </si>
  <si>
    <t>SUFFICIENT?</t>
  </si>
  <si>
    <t>Electric Petrol DC1 - Site Replication Sizing</t>
  </si>
  <si>
    <t>REPLICATION PARAMETERS</t>
  </si>
  <si>
    <t>Number of Remote Sites</t>
  </si>
  <si>
    <t>RODC RAM per Site (GB)</t>
  </si>
  <si>
    <t>RODC Storage per Site (GB)</t>
  </si>
  <si>
    <t>File Replica Storage per Site (GB)</t>
  </si>
  <si>
    <t>File Server RAM per Site (GB)</t>
  </si>
  <si>
    <t>WAN Bandwidth per Site (Mbps)</t>
  </si>
  <si>
    <t>AD Replication Traffic per Site (Mbps)</t>
  </si>
  <si>
    <t>DFS-R Traffic per Site (Mbps)</t>
  </si>
  <si>
    <t>CALCULATED TOTALS</t>
  </si>
  <si>
    <t>Total RODC VMs</t>
  </si>
  <si>
    <t>Total RODC RAM (GB)</t>
  </si>
  <si>
    <t>Total RODC Storage (TB)</t>
  </si>
  <si>
    <t>Total File Replica Storage (TB)</t>
  </si>
  <si>
    <t>Total File Server RAM (GB)</t>
  </si>
  <si>
    <t>Total WAN Bandwidth (Gbps)</t>
  </si>
  <si>
    <t>Total Replication Traffic (Gbps)</t>
  </si>
  <si>
    <t>Replication Cluster Servers Needed</t>
  </si>
  <si>
    <t>Based on 512GB RAM/server</t>
  </si>
  <si>
    <t>Category</t>
  </si>
  <si>
    <t>Item</t>
  </si>
  <si>
    <t>Quantity</t>
  </si>
  <si>
    <t>Compute</t>
  </si>
  <si>
    <t>Storage</t>
  </si>
  <si>
    <t>Network</t>
  </si>
  <si>
    <t>Infrastructure</t>
  </si>
  <si>
    <t>Electric Petrol DC1 - Power and Rack Summary</t>
  </si>
  <si>
    <t>POWER PARAMETERS</t>
  </si>
  <si>
    <t>Component</t>
  </si>
  <si>
    <t>Power/Unit (W)</t>
  </si>
  <si>
    <t>Total Power (kW)</t>
  </si>
  <si>
    <t>Compute Servers (R760)</t>
  </si>
  <si>
    <t>Management Servers (R660)</t>
  </si>
  <si>
    <t>Storage Arrays + Shelves</t>
  </si>
  <si>
    <t>Network Switches</t>
  </si>
  <si>
    <t>IT Load Subtotal (kW)</t>
  </si>
  <si>
    <t>Overhead Factor</t>
  </si>
  <si>
    <t>20% for losses, cooling fans etc.</t>
  </si>
  <si>
    <t>TOTAL POWER (kW)</t>
  </si>
  <si>
    <t>Cooling Required (tons)</t>
  </si>
  <si>
    <t>1 ton = 3.517 kW</t>
  </si>
  <si>
    <t>RACK SUMMARY</t>
  </si>
  <si>
    <t>Management Rack</t>
  </si>
  <si>
    <t>Storage Racks</t>
  </si>
  <si>
    <t>Network Racks</t>
  </si>
  <si>
    <t>TOTAL RACKS</t>
  </si>
  <si>
    <t>Floor Space per Rack (sq m)</t>
  </si>
  <si>
    <t>Including aisle space</t>
  </si>
  <si>
    <t>TOTAL FLOOR SPACE (sq m)</t>
  </si>
  <si>
    <t>PRODUCT REFERENCES</t>
  </si>
  <si>
    <t>Dell PowerEdge R760 Spec Sheet</t>
  </si>
  <si>
    <t>dell.com/en-ie &gt; PowerEdge R760</t>
  </si>
  <si>
    <t>Consultant Report Requirement</t>
  </si>
  <si>
    <t>Consultant Report: 2 CPU per VM</t>
  </si>
  <si>
    <t>Physical Cores per Server (2x Intel Xeon Gold 6430, 32c each)</t>
  </si>
  <si>
    <t>Dell Xeon Gold 6430 = 32 cores/socket, 2 sockets</t>
  </si>
  <si>
    <t>Intel Xeon Gold 6430 (TDP 270W, 2.1GHz base)</t>
  </si>
  <si>
    <t>Industry standard for mixed workloads</t>
  </si>
  <si>
    <t>Consultant recommendation: 5-server clusters</t>
  </si>
  <si>
    <t>RAM per Server (GB) - 16x32GB DDR5-4800 RDIMM</t>
  </si>
  <si>
    <t>Dell R760 supports up to 32 DIMM slots, DDR5-4800</t>
  </si>
  <si>
    <t>PRODUCT PRICING (Ireland, EUR ex-VAT)</t>
  </si>
  <si>
    <t>Product</t>
  </si>
  <si>
    <t>Config</t>
  </si>
  <si>
    <t>Price (EUR)</t>
  </si>
  <si>
    <t>Source</t>
  </si>
  <si>
    <t>Dell PowerEdge R760 (2U Rack)</t>
  </si>
  <si>
    <t>2x Xeon Gold 6430 (32c), 512GB DDR5, 2x480GB SSD BOSS, 6x1.92TB NVMe, 2x1400W PSU</t>
  </si>
  <si>
    <t>dell.com/en-ie (Configure to Order)</t>
  </si>
  <si>
    <t>Dell PowerEdge R660 (1U Rack)</t>
  </si>
  <si>
    <t>1x Xeon Silver 4416+ (20c), 128GB DDR5, 2x960GB SSD, 2x800W PSU</t>
  </si>
  <si>
    <t>Dell PowerStore 5200T</t>
  </si>
  <si>
    <t>All-Flash, Dual Active Controllers, 25GbE/32Gb FC, 1PB effective</t>
  </si>
  <si>
    <t>dell.com/en-ie (Enterprise quote)</t>
  </si>
  <si>
    <t>Dell PowerStore Expansion Shelf</t>
  </si>
  <si>
    <t>25x 3.84TB NVMe SSD (96TB raw per shelf)</t>
  </si>
  <si>
    <t>Dell S5248F-ON Switch</t>
  </si>
  <si>
    <t>48x 25GbE SFP28 + 6x 100GbE QSFP28, OS10</t>
  </si>
  <si>
    <t>dell.com/en-ie (Networking)</t>
  </si>
  <si>
    <t>Dell N3248TE-ON Switch</t>
  </si>
  <si>
    <t>48x 1GbE RJ45 + 4x 10GbE SFP+, OS10</t>
  </si>
  <si>
    <t>Dell N1148T-ON Switch</t>
  </si>
  <si>
    <t>48x 1GbE RJ45, basic L2, OS10 Lite</t>
  </si>
  <si>
    <t>Broadcom Brocade G720 FC Switch</t>
  </si>
  <si>
    <t>48-port 32Gb Fibre Channel, 24 ports active</t>
  </si>
  <si>
    <t>broadcom.com (Enterprise FC)</t>
  </si>
  <si>
    <t>Broadcom Emulex LPe36002-M2</t>
  </si>
  <si>
    <t>32Gb FC Dual-Port HBA, PCIe 4.0 x8, Low Profile</t>
  </si>
  <si>
    <t>broadcom.com (HBA)</t>
  </si>
  <si>
    <t>Intel Xeon Gold 6430 Processor</t>
  </si>
  <si>
    <t>32-core, 2.1GHz base, 3.4GHz turbo, 270W TDP</t>
  </si>
  <si>
    <t>intel.com (ARK)</t>
  </si>
  <si>
    <t>Samsung PM9A3 3.84TB NVMe SSD</t>
  </si>
  <si>
    <t>3.84TB, U.2, PCIe Gen4, 1 DWPD, 6500/3500 MB/s</t>
  </si>
  <si>
    <t>samsung.com (Enterprise SSD)</t>
  </si>
  <si>
    <t>42U Server Rack (Dell AR3100)</t>
  </si>
  <si>
    <t>42U 600x1200mm, 2x PDU, cable management</t>
  </si>
  <si>
    <t>dell.com/en-ie (Infrastructure)</t>
  </si>
  <si>
    <t>STORAGE PRODUCT SPECIFICATIONS</t>
  </si>
  <si>
    <t>Dell PowerStore 5200T Specifications</t>
  </si>
  <si>
    <t>Max Raw Capacity (per array)</t>
  </si>
  <si>
    <t>2.4 PB</t>
  </si>
  <si>
    <t>Max Effective Capacity (4:1 data reduction)</t>
  </si>
  <si>
    <t>9.6 PB</t>
  </si>
  <si>
    <t>Max IOPS (100% read, 8KB block)</t>
  </si>
  <si>
    <t>Max IOPS (70/30 read/write, 8KB)</t>
  </si>
  <si>
    <t>Max Bandwidth (sequential read)</t>
  </si>
  <si>
    <t>25 GB/s</t>
  </si>
  <si>
    <t>Latency (8KB random read)</t>
  </si>
  <si>
    <t>&lt; 0.3 ms</t>
  </si>
  <si>
    <t>Drive Bays (base unit)</t>
  </si>
  <si>
    <t>25x 2.5-inch NVMe/SAS</t>
  </si>
  <si>
    <t>Connectivity</t>
  </si>
  <si>
    <t>4x 25GbE iSCSI/NVMe-oF or 4x 32Gb FC per controller</t>
  </si>
  <si>
    <t>Controllers</t>
  </si>
  <si>
    <t>Dual Active-Active (Intel Xeon, 256GB cache total)</t>
  </si>
  <si>
    <t>Expansion</t>
  </si>
  <si>
    <t>Up to 3 expansion shelves per base (25 drives each)</t>
  </si>
  <si>
    <t>Data Services</t>
  </si>
  <si>
    <t>Inline dedup, compression, thin provisioning, snapshots, replication</t>
  </si>
  <si>
    <t>Price (Ireland, ex-VAT)</t>
  </si>
  <si>
    <t>EUR 145,000 (base), EUR 48,000 per expansion shelf</t>
  </si>
  <si>
    <t>I/O PERFORMANCE VALIDATION (8KB Benchmark)</t>
  </si>
  <si>
    <t>Metric</t>
  </si>
  <si>
    <t>Per Array</t>
  </si>
  <si>
    <t>Total (2 Arrays)</t>
  </si>
  <si>
    <t>IOPS at 8KB (100% read)</t>
  </si>
  <si>
    <t>IOPS at 8KB (70/30 mix)</t>
  </si>
  <si>
    <t>IOPS per VM (10,000 VMs, 70/30)</t>
  </si>
  <si>
    <t>Latency at 8KB</t>
  </si>
  <si>
    <t>Dell R760 typical: 750W avg (2x1400W PSU, Platinum 96% eff)</t>
  </si>
  <si>
    <t>Dell R660 typical: 350W avg (2x800W PSU)</t>
  </si>
  <si>
    <t>PowerStore 5200T: ~2.2kW per array with drives</t>
  </si>
  <si>
    <t>Dell S5248F-ON: 180W typical</t>
  </si>
  <si>
    <t>Electric Petrol DC1 - Product Catalogue (Ireland Pricing)</t>
  </si>
  <si>
    <t>All prices EUR ex-VAT. Source: dell.com/en-ie, broadcom.com, intel.com (May 2026)</t>
  </si>
  <si>
    <t>Model / Part Number</t>
  </si>
  <si>
    <t>Key Specifications</t>
  </si>
  <si>
    <t>Unit Price (EUR)</t>
  </si>
  <si>
    <t>Source Website</t>
  </si>
  <si>
    <t>COMPUTE SERVERS</t>
  </si>
  <si>
    <t>Rack Server (Compute)</t>
  </si>
  <si>
    <t>Dell PowerEdge R760</t>
  </si>
  <si>
    <t>2U | 2x Intel Xeon Gold 6430 (32-core, 2.1GHz) | 512GB DDR5-4800 (16x32GB RDIMM) | 32 DIMM slots max | 2x 480GB SSD M.2 BOSS-N1 (boot RAID1) | 6x 1.92TB NVMe U.2 SSD (data) | 2x 25GbE SFP28 onboard | 2x 25GbE SFP28 PCI-e | 1x 32Gb FC HBA | 2x 1400W Platinum PSU | iDRAC9 Enterprise | PERC H965i RAID</t>
  </si>
  <si>
    <t>dell.com/en-ie</t>
  </si>
  <si>
    <t>Rack Server (Management)</t>
  </si>
  <si>
    <t>Dell PowerEdge R660</t>
  </si>
  <si>
    <t>1U | 1x Intel Xeon Silver 4416+ (20-core, 2.0GHz) | 128GB DDR5-4800 (4x32GB) | 16 DIMM slots max | 2x 960GB SSD SATA (RAID1) | 2x 25GbE SFP28 | 2x 800W Platinum PSU | iDRAC9 Enterprise | PERC H755 RAID</t>
  </si>
  <si>
    <t>STORAGE</t>
  </si>
  <si>
    <t>All-Flash SAN Array</t>
  </si>
  <si>
    <t>Dual Active-Active controllers | Intel Xeon CPU per controller | 256GB total cache | 25x 2.5in NVMe/SAS bays | Up to 1.2M IOPS (8KB read) | &lt;0.3ms latency | 4x 25GbE iSCSI or 4x 32Gb FC per controller | Inline dedup + compression (4:1 typical) | Async/sync replication | Snapshots, thin provisioning</t>
  </si>
  <si>
    <t>Expansion Shelf</t>
  </si>
  <si>
    <t>Dell PowerStore Expansion</t>
  </si>
  <si>
    <t>25x 3.84TB NVMe SSD (Samsung PM9A3) | 96TB raw per shelf | Hot-pluggable | SAS backend to base unit | Max 3 shelves per base</t>
  </si>
  <si>
    <t>NVMe SSD (in expansion)</t>
  </si>
  <si>
    <t>Samsung PM9A3 3.84TB</t>
  </si>
  <si>
    <t>3.84TB | U.2 2.5in | PCIe Gen4 x4 | 6,500 MB/s read, 3,500 MB/s write | 800K/180K IOPS | 1 DWPD 5yr | AES-256 encryption</t>
  </si>
  <si>
    <t>samsung.com/semiconductor</t>
  </si>
  <si>
    <t>NETWORKING</t>
  </si>
  <si>
    <t>Spine/Leaf Switch (25GbE)</t>
  </si>
  <si>
    <t>Dell S5248F-ON</t>
  </si>
  <si>
    <t>48x 25GbE SFP28 + 6x 100GbE QSFP28 | OS10 Enterprise | L2/L3 | BGP/OSPF/VXLAN | 3.6 Tbps switching capacity | 1U</t>
  </si>
  <si>
    <t>WAN/Edge Router</t>
  </si>
  <si>
    <t>Dell N3248TE-ON</t>
  </si>
  <si>
    <t>48x 1GbE RJ45 + 4x 10GbE SFP+ | OS10 Enterprise | L3 routing | ACL/QoS | 176 Gbps switching | 1U</t>
  </si>
  <si>
    <t>OOB Management Switch</t>
  </si>
  <si>
    <t>Dell N1148T-ON</t>
  </si>
  <si>
    <t>48x 1GbE RJ45 + 4x 10GbE SFP+ | OS10 Lite | L2 switching | SNMP/SSH | 1U</t>
  </si>
  <si>
    <t>SAN FABRIC</t>
  </si>
  <si>
    <t>FC Switch</t>
  </si>
  <si>
    <t>Broadcom Brocade G720</t>
  </si>
  <si>
    <t>48-port 32Gb Fibre Channel | 24 ports active (scalable to 48) | 768 Gbps aggregate | Low latency 0.7us | Fabric Vision | 1U</t>
  </si>
  <si>
    <t>broadcom.com</t>
  </si>
  <si>
    <t>FC Host Bus Adapter</t>
  </si>
  <si>
    <t>32Gb FC Dual-Port | PCIe 4.0 x8 | Low Profile | 3.2M IOPS | Linux/Windows/ESXi drivers | Multipath support</t>
  </si>
  <si>
    <t>INFRASTRUCTURE</t>
  </si>
  <si>
    <t>Server Rack</t>
  </si>
  <si>
    <t>Dell AR3100 42U</t>
  </si>
  <si>
    <t>42U | 600mm W x 1200mm D | 1500kg static load | Split rear doors | 2x PDU vertical mount | Cable management | Perforated doors (front/rear)</t>
  </si>
  <si>
    <t>PROCESSORS (included in server price)</t>
  </si>
  <si>
    <t>Server CPU (Compute)</t>
  </si>
  <si>
    <t>Intel Xeon Gold 6430</t>
  </si>
  <si>
    <t>32 cores / 64 threads | 2.1GHz base / 3.4GHz turbo | 270W TDP | 60MB L3 cache | DDR5-4800 8-channel | PCIe 5.0 | Socket 4677 (LGA)</t>
  </si>
  <si>
    <t>intel.com/ark</t>
  </si>
  <si>
    <t>Server CPU (Management)</t>
  </si>
  <si>
    <t>Intel Xeon Silver 4416+</t>
  </si>
  <si>
    <t>20 cores / 40 threads | 2.0GHz base / 3.9GHz turbo | 150W TDP | 37.5MB L3 cache | DDR5-4800 8-channel | Socket 4677</t>
  </si>
  <si>
    <t>Electric Petrol DC1 Mayo - Bill of Materials, Labour and Cost Summary</t>
  </si>
  <si>
    <t>Student: Rujuta (L00187595)  |  Date: May 2026  |  Currency: EUR  |  VAT Rate: 23% (Irish Standard Rate)</t>
  </si>
  <si>
    <t>Qty</t>
  </si>
  <si>
    <t>Net Unit Cost (EUR)</t>
  </si>
  <si>
    <t>Net Total (EUR)</t>
  </si>
  <si>
    <t>VAT Rate</t>
  </si>
  <si>
    <t>VAT Amount (EUR)</t>
  </si>
  <si>
    <t>Gross Total (EUR)</t>
  </si>
  <si>
    <t>Warranty (Yrs)</t>
  </si>
  <si>
    <t>Annual Warranty Cost (EUR)</t>
  </si>
  <si>
    <t>5-Year Warranty Total (EUR)</t>
  </si>
  <si>
    <t>HARDWARE</t>
  </si>
  <si>
    <t>Dell PowerEdge R760 (2x Xeon Gold 6430, 512GB DDR5, 6x1.92TB NVMe)</t>
  </si>
  <si>
    <t>Dell PowerEdge R660 (Xeon Silver 4416+, 128GB DDR5, 2x960GB SSD) - Mgmt</t>
  </si>
  <si>
    <t>Dell PowerStore 5200T (All-Flash, Active-Active, 1.2M IOPS)</t>
  </si>
  <si>
    <t>PowerStore NVMe Expansion Shelf (25x 3.84TB NVMe SSD)</t>
  </si>
  <si>
    <t>Dell S5248F-ON (48x 25GbE SFP28 + 6x 100GbE QSFP28) - Spine/Leaf</t>
  </si>
  <si>
    <t>Dell N3248TE-ON (48x 1GbE + 4x 10GbE SFP+) - WAN/Border</t>
  </si>
  <si>
    <t>Dell N1148T-ON (48x 1GbE) - OOB Management</t>
  </si>
  <si>
    <t>SAN Fabric</t>
  </si>
  <si>
    <t>Brocade G720 (48-port 32Gb Fibre Channel Switch)</t>
  </si>
  <si>
    <t>Emulex LPe36002-M2 (Dual-Port 32Gb FC HBA)</t>
  </si>
  <si>
    <t>42U Server Rack (Dell AR3100) with Dual PDU</t>
  </si>
  <si>
    <t>APC Smart-UPS SRT 10kVA (per rack pair)</t>
  </si>
  <si>
    <t>In-Row Cooling Unit (30kW)</t>
  </si>
  <si>
    <t>Cabling</t>
  </si>
  <si>
    <t>25GbE SFP28 DAC Cable (3m)</t>
  </si>
  <si>
    <t>32Gb FC LC-LC OM4 Patch Cable (5m)</t>
  </si>
  <si>
    <t>Cat6A Patch Cable (3m)</t>
  </si>
  <si>
    <t>HARDWARE SUBTOTAL</t>
  </si>
  <si>
    <t>SOFTWARE / LICENSING</t>
  </si>
  <si>
    <t>Virtualisation</t>
  </si>
  <si>
    <t>VMware vSphere Enterprise Plus (per CPU socket)</t>
  </si>
  <si>
    <t>OS Licensing</t>
  </si>
  <si>
    <t>Windows Server 2022 Datacenter (per 2-socket server)</t>
  </si>
  <si>
    <t>Management</t>
  </si>
  <si>
    <t>VMware vCenter Server Standard</t>
  </si>
  <si>
    <t>Backup</t>
  </si>
  <si>
    <t>Veeam Backup and Replication Enterprise Plus (per socket)</t>
  </si>
  <si>
    <t>Monitoring</t>
  </si>
  <si>
    <t>Dell OpenManage Enterprise Advanced (site licence)</t>
  </si>
  <si>
    <t>SOFTWARE SUBTOTAL</t>
  </si>
  <si>
    <t>LABOUR / PROFESSIONAL SERVICES</t>
  </si>
  <si>
    <t>Role</t>
  </si>
  <si>
    <t>Description</t>
  </si>
  <si>
    <t>Personnel</t>
  </si>
  <si>
    <t>Days</t>
  </si>
  <si>
    <t>Day Rate (EUR)</t>
  </si>
  <si>
    <t>Project Manager</t>
  </si>
  <si>
    <t>Overall DC1 build project management and coordination</t>
  </si>
  <si>
    <t>Solutions Architect</t>
  </si>
  <si>
    <t>Infrastructure design, HLD/LLD documentation, validation</t>
  </si>
  <si>
    <t>Senior Systems Engineer</t>
  </si>
  <si>
    <t>Server rack and stack, firmware, BIOS/iDRAC config</t>
  </si>
  <si>
    <t>Virtualisation Engineer</t>
  </si>
  <si>
    <t>VMware vSphere cluster build, vCenter, HA/DRS config</t>
  </si>
  <si>
    <t>Storage Engineer</t>
  </si>
  <si>
    <t>PowerStore deployment, zoning, replication, SAN fabric</t>
  </si>
  <si>
    <t>Network Engineer</t>
  </si>
  <si>
    <t>Spine-leaf fabric, VLAN, BGP/OSPF, firewall rules</t>
  </si>
  <si>
    <t>AD / Identity Engineer</t>
  </si>
  <si>
    <t>Active Directory forest, 60-site RODC, DFS-R, GPO</t>
  </si>
  <si>
    <t>Security Engineer</t>
  </si>
  <si>
    <t>Hardening, firewall policy, certificate services, audit</t>
  </si>
  <si>
    <t>Backup Engineer</t>
  </si>
  <si>
    <t>Veeam deployment, backup jobs, DR runbook, testing</t>
  </si>
  <si>
    <t>Cabling Contractor</t>
  </si>
  <si>
    <t>Structured cabling (power, fibre, copper) - team of 4</t>
  </si>
  <si>
    <t>Electrical Contractor</t>
  </si>
  <si>
    <t>PDU installation, UPS commissioning, generator tie-in</t>
  </si>
  <si>
    <t>HVAC / Cooling Engineer</t>
  </si>
  <si>
    <t>In-row cooling install, airflow optimisation, monitoring</t>
  </si>
  <si>
    <t>Testing / QA Engineer</t>
  </si>
  <si>
    <t>Integration testing, failover testing, performance validation</t>
  </si>
  <si>
    <t>Documentation Specialist</t>
  </si>
  <si>
    <t>As-built documentation, runbooks, knowledge transfer</t>
  </si>
  <si>
    <t>Training Delivery</t>
  </si>
  <si>
    <t>Operations team training (5-day course x 2 sessions)</t>
  </si>
  <si>
    <t>LABOUR SUBTOTAL</t>
  </si>
  <si>
    <t>GRAND COST SUMMARY</t>
  </si>
  <si>
    <t>Cost Category</t>
  </si>
  <si>
    <t>5-Year Warranty / Support (EUR)</t>
  </si>
  <si>
    <t>Hardware</t>
  </si>
  <si>
    <t>Software / Licensing</t>
  </si>
  <si>
    <t>Labour / Professional Services</t>
  </si>
  <si>
    <t>Included in day rates</t>
  </si>
  <si>
    <t>GRAND TOTAL</t>
  </si>
  <si>
    <t>NOTES</t>
  </si>
  <si>
    <t>1. All prices in EUR, exclusive of VAT unless stated otherwise.</t>
  </si>
  <si>
    <t>2. Irish VAT at 23% (standard rate) applied to all goods and services.</t>
  </si>
  <si>
    <t>3. Hardware warranty is Dell ProSupport Plus (24x7, 4-hour onsite response) for Irish sites.</t>
  </si>
  <si>
    <t>4. Storage warranty includes Dell ProSupport One (dedicated technical account manager).</t>
  </si>
  <si>
    <t>5. Labour day rates are based on Irish market rates for enterprise data centre projects (2026).</t>
  </si>
  <si>
    <t>6. Volume discounts of 15-25% are typical for enterprise orders of this scale - not applied here (list prices shown).</t>
  </si>
  <si>
    <t>7. All labour rates include travel and expenses for Mayo site.</t>
  </si>
  <si>
    <t>8. Cabling contractor rate is per-person; team of 4 deployed for structured cabling phase.</t>
  </si>
  <si>
    <t>9. Training cost covers 2x 5-day instructor-led sessions for Electric Petrol operations team.</t>
  </si>
  <si>
    <t>10. Annual software renewal costs apply from Year 2 onwards (Year 1 included in purchase price).</t>
  </si>
  <si>
    <t>Storage per VM (GB)</t>
  </si>
  <si>
    <t>Total Storage (TB)</t>
  </si>
  <si>
    <t>Compute Racks (20 servers/rack, 2U each)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</si>
</sst>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8080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13458B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  <xf numFmtId="3" fontId="0" fillId="0" borderId="0" xfId="0" applyNumberFormat="1"/>
    <xf numFmtId="0" fontId="1" fillId="4" borderId="0" xfId="0" applyFont="1" applyFill="1"/>
    <xf numFmtId="0" fontId="3" fillId="0" borderId="0" xfId="0" applyFont="1"/>
    <xf numFmtId="0" fontId="1" fillId="5" borderId="0" xfId="0" applyFont="1" applyFill="1"/>
    <xf numFmtId="0" fontId="1" fillId="6" borderId="0" xfId="0" applyFont="1" applyFill="1"/>
    <xf numFmtId="0" fontId="4" fillId="7" borderId="0" xfId="0" applyFont="1" applyFill="1"/>
    <xf numFmtId="9" fontId="0" fillId="0" borderId="0" xfId="0" applyNumberFormat="1"/>
    <xf numFmtId="0" fontId="1" fillId="8" borderId="0" xfId="0" applyFont="1" applyFill="1"/>
    <xf numFmtId="0" fontId="4" fillId="9" borderId="0" xfId="0" applyFont="1" applyFill="1"/>
    <xf numFmtId="0" fontId="5" fillId="0" borderId="0" xfId="0" applyFont="1"/>
    <xf numFmtId="0" fontId="4" fillId="10" borderId="0" xfId="0" applyFont="1" applyFill="1"/>
    <xf numFmtId="3" fontId="1" fillId="8" borderId="0" xfId="0" applyNumberFormat="1" applyFont="1" applyFill="1"/>
    <xf numFmtId="3" fontId="1" fillId="2" borderId="0" xfId="0" applyNumberFormat="1" applyFont="1" applyFill="1"/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44A9-A546-40FB-AF49-723857010378}">
  <dimension ref="A1:D46"/>
  <sheetViews>
    <sheetView tabSelected="1" workbookViewId="0">
      <selection activeCell="D53" sqref="D53"/>
    </sheetView>
  </sheetViews>
  <sheetFormatPr defaultRowHeight="14.4" x14ac:dyDescent="0.3"/>
  <cols>
    <col min="1" max="1" width="40.77734375" customWidth="1"/>
    <col min="2" max="2" width="15.77734375" customWidth="1"/>
    <col min="3" max="3" width="45.77734375" customWidth="1"/>
    <col min="4" max="4" width="50.77734375" customWidth="1"/>
  </cols>
  <sheetData>
    <row r="1" spans="1:4" ht="18" x14ac:dyDescent="0.35">
      <c r="A1" s="2" t="s">
        <v>0</v>
      </c>
    </row>
    <row r="3" spans="1:4" x14ac:dyDescent="0.3">
      <c r="A3" s="3" t="s">
        <v>1</v>
      </c>
      <c r="D3" s="7" t="s">
        <v>103</v>
      </c>
    </row>
    <row r="4" spans="1:4" x14ac:dyDescent="0.3">
      <c r="A4" t="s">
        <v>2</v>
      </c>
      <c r="B4">
        <v>100</v>
      </c>
      <c r="D4" t="s">
        <v>104</v>
      </c>
    </row>
    <row r="5" spans="1:4" x14ac:dyDescent="0.3">
      <c r="A5" t="s">
        <v>3</v>
      </c>
      <c r="B5">
        <v>10</v>
      </c>
      <c r="D5" t="s">
        <v>105</v>
      </c>
    </row>
    <row r="6" spans="1:4" x14ac:dyDescent="0.3">
      <c r="A6" t="s">
        <v>4</v>
      </c>
      <c r="B6">
        <v>10</v>
      </c>
      <c r="D6" t="s">
        <v>106</v>
      </c>
    </row>
    <row r="7" spans="1:4" x14ac:dyDescent="0.3">
      <c r="A7" t="s">
        <v>5</v>
      </c>
      <c r="B7">
        <v>2</v>
      </c>
      <c r="D7" t="s">
        <v>107</v>
      </c>
    </row>
    <row r="8" spans="1:4" x14ac:dyDescent="0.3">
      <c r="A8" t="s">
        <v>108</v>
      </c>
      <c r="B8">
        <v>64</v>
      </c>
      <c r="C8" t="s">
        <v>109</v>
      </c>
      <c r="D8" t="s">
        <v>110</v>
      </c>
    </row>
    <row r="9" spans="1:4" x14ac:dyDescent="0.3">
      <c r="A9" t="s">
        <v>6</v>
      </c>
      <c r="B9">
        <v>4</v>
      </c>
      <c r="D9" t="s">
        <v>111</v>
      </c>
    </row>
    <row r="10" spans="1:4" x14ac:dyDescent="0.3">
      <c r="A10" t="s">
        <v>7</v>
      </c>
      <c r="B10">
        <v>5</v>
      </c>
      <c r="D10" t="s">
        <v>112</v>
      </c>
    </row>
    <row r="11" spans="1:4" x14ac:dyDescent="0.3">
      <c r="A11" t="s">
        <v>8</v>
      </c>
      <c r="B11">
        <v>1</v>
      </c>
    </row>
    <row r="12" spans="1:4" x14ac:dyDescent="0.3">
      <c r="A12" t="s">
        <v>113</v>
      </c>
      <c r="B12">
        <v>512</v>
      </c>
      <c r="D12" t="s">
        <v>114</v>
      </c>
    </row>
    <row r="13" spans="1:4" x14ac:dyDescent="0.3">
      <c r="A13" t="s">
        <v>9</v>
      </c>
      <c r="B13">
        <v>1.5</v>
      </c>
    </row>
    <row r="15" spans="1:4" x14ac:dyDescent="0.3">
      <c r="A15" s="4" t="s">
        <v>10</v>
      </c>
    </row>
    <row r="16" spans="1:4" x14ac:dyDescent="0.3">
      <c r="A16" t="s">
        <v>11</v>
      </c>
      <c r="B16">
        <f>B4*B5*B6</f>
        <v>10000</v>
      </c>
    </row>
    <row r="17" spans="1:2" x14ac:dyDescent="0.3">
      <c r="A17" t="s">
        <v>12</v>
      </c>
      <c r="B17">
        <f>B16*B7</f>
        <v>20000</v>
      </c>
    </row>
    <row r="18" spans="1:2" x14ac:dyDescent="0.3">
      <c r="A18" t="s">
        <v>13</v>
      </c>
      <c r="B18">
        <f>B8*B9</f>
        <v>256</v>
      </c>
    </row>
    <row r="19" spans="1:2" x14ac:dyDescent="0.3">
      <c r="A19" t="s">
        <v>14</v>
      </c>
      <c r="B19">
        <f>B10-B11</f>
        <v>4</v>
      </c>
    </row>
    <row r="20" spans="1:2" x14ac:dyDescent="0.3">
      <c r="A20" t="s">
        <v>15</v>
      </c>
      <c r="B20">
        <f>B18*B19</f>
        <v>1024</v>
      </c>
    </row>
    <row r="21" spans="1:2" x14ac:dyDescent="0.3">
      <c r="A21" t="s">
        <v>16</v>
      </c>
      <c r="B21">
        <f>FLOOR(B20/B7,1)</f>
        <v>512</v>
      </c>
    </row>
    <row r="22" spans="1:2" x14ac:dyDescent="0.3">
      <c r="A22" t="s">
        <v>17</v>
      </c>
      <c r="B22">
        <f>ROUNDUP(B16/B21,0)</f>
        <v>20</v>
      </c>
    </row>
    <row r="23" spans="1:2" x14ac:dyDescent="0.3">
      <c r="A23" t="s">
        <v>18</v>
      </c>
      <c r="B23">
        <f>B22*B10</f>
        <v>100</v>
      </c>
    </row>
    <row r="25" spans="1:2" x14ac:dyDescent="0.3">
      <c r="A25" s="4" t="s">
        <v>19</v>
      </c>
    </row>
    <row r="26" spans="1:2" x14ac:dyDescent="0.3">
      <c r="A26" t="s">
        <v>20</v>
      </c>
      <c r="B26">
        <v>7.2</v>
      </c>
    </row>
    <row r="27" spans="1:2" x14ac:dyDescent="0.3">
      <c r="A27" t="s">
        <v>21</v>
      </c>
      <c r="B27">
        <f>B16*B26</f>
        <v>72000</v>
      </c>
    </row>
    <row r="28" spans="1:2" x14ac:dyDescent="0.3">
      <c r="A28" t="s">
        <v>22</v>
      </c>
      <c r="B28">
        <f>B19*B12*B13</f>
        <v>3072</v>
      </c>
    </row>
    <row r="29" spans="1:2" x14ac:dyDescent="0.3">
      <c r="A29" t="s">
        <v>23</v>
      </c>
      <c r="B29">
        <f>ROUNDUP(B27/B28,0)</f>
        <v>24</v>
      </c>
    </row>
    <row r="30" spans="1:2" x14ac:dyDescent="0.3">
      <c r="A30" s="1" t="s">
        <v>24</v>
      </c>
      <c r="B30" s="1">
        <f>MAX(B22,B29)</f>
        <v>24</v>
      </c>
    </row>
    <row r="31" spans="1:2" x14ac:dyDescent="0.3">
      <c r="A31" s="1" t="s">
        <v>25</v>
      </c>
      <c r="B31" s="1">
        <f>B30*B10</f>
        <v>120</v>
      </c>
    </row>
    <row r="33" spans="1:4" x14ac:dyDescent="0.3">
      <c r="A33" s="7" t="s">
        <v>115</v>
      </c>
    </row>
    <row r="34" spans="1:4" x14ac:dyDescent="0.3">
      <c r="A34" s="1" t="s">
        <v>116</v>
      </c>
      <c r="B34" s="1" t="s">
        <v>117</v>
      </c>
      <c r="C34" s="1" t="s">
        <v>118</v>
      </c>
      <c r="D34" s="1" t="s">
        <v>119</v>
      </c>
    </row>
    <row r="35" spans="1:4" x14ac:dyDescent="0.3">
      <c r="A35" t="s">
        <v>120</v>
      </c>
      <c r="B35" t="s">
        <v>121</v>
      </c>
      <c r="C35" s="6">
        <v>18500</v>
      </c>
      <c r="D35" t="s">
        <v>122</v>
      </c>
    </row>
    <row r="36" spans="1:4" x14ac:dyDescent="0.3">
      <c r="A36" t="s">
        <v>123</v>
      </c>
      <c r="B36" t="s">
        <v>124</v>
      </c>
      <c r="C36" s="6">
        <v>7200</v>
      </c>
      <c r="D36" t="s">
        <v>122</v>
      </c>
    </row>
    <row r="37" spans="1:4" x14ac:dyDescent="0.3">
      <c r="A37" t="s">
        <v>125</v>
      </c>
      <c r="B37" t="s">
        <v>126</v>
      </c>
      <c r="C37" s="6">
        <v>145000</v>
      </c>
      <c r="D37" t="s">
        <v>127</v>
      </c>
    </row>
    <row r="38" spans="1:4" x14ac:dyDescent="0.3">
      <c r="A38" t="s">
        <v>128</v>
      </c>
      <c r="B38" t="s">
        <v>129</v>
      </c>
      <c r="C38" s="6">
        <v>48000</v>
      </c>
      <c r="D38" t="s">
        <v>127</v>
      </c>
    </row>
    <row r="39" spans="1:4" x14ac:dyDescent="0.3">
      <c r="A39" t="s">
        <v>130</v>
      </c>
      <c r="B39" t="s">
        <v>131</v>
      </c>
      <c r="C39" s="6">
        <v>11500</v>
      </c>
      <c r="D39" t="s">
        <v>132</v>
      </c>
    </row>
    <row r="40" spans="1:4" x14ac:dyDescent="0.3">
      <c r="A40" t="s">
        <v>133</v>
      </c>
      <c r="B40" t="s">
        <v>134</v>
      </c>
      <c r="C40" s="6">
        <v>4800</v>
      </c>
      <c r="D40" t="s">
        <v>132</v>
      </c>
    </row>
    <row r="41" spans="1:4" x14ac:dyDescent="0.3">
      <c r="A41" t="s">
        <v>135</v>
      </c>
      <c r="B41" t="s">
        <v>136</v>
      </c>
      <c r="C41" s="6">
        <v>1950</v>
      </c>
      <c r="D41" t="s">
        <v>132</v>
      </c>
    </row>
    <row r="42" spans="1:4" x14ac:dyDescent="0.3">
      <c r="A42" t="s">
        <v>137</v>
      </c>
      <c r="B42" t="s">
        <v>138</v>
      </c>
      <c r="C42" s="6">
        <v>24000</v>
      </c>
      <c r="D42" t="s">
        <v>139</v>
      </c>
    </row>
    <row r="43" spans="1:4" x14ac:dyDescent="0.3">
      <c r="A43" t="s">
        <v>140</v>
      </c>
      <c r="B43" t="s">
        <v>141</v>
      </c>
      <c r="C43" s="6">
        <v>850</v>
      </c>
      <c r="D43" t="s">
        <v>142</v>
      </c>
    </row>
    <row r="44" spans="1:4" x14ac:dyDescent="0.3">
      <c r="A44" t="s">
        <v>143</v>
      </c>
      <c r="B44" t="s">
        <v>144</v>
      </c>
      <c r="C44" s="6">
        <v>2700</v>
      </c>
      <c r="D44" t="s">
        <v>145</v>
      </c>
    </row>
    <row r="45" spans="1:4" x14ac:dyDescent="0.3">
      <c r="A45" t="s">
        <v>146</v>
      </c>
      <c r="B45" t="s">
        <v>147</v>
      </c>
      <c r="C45" s="6">
        <v>420</v>
      </c>
      <c r="D45" t="s">
        <v>148</v>
      </c>
    </row>
    <row r="46" spans="1:4" x14ac:dyDescent="0.3">
      <c r="A46" t="s">
        <v>149</v>
      </c>
      <c r="B46" t="s">
        <v>150</v>
      </c>
      <c r="C46" s="6">
        <v>3200</v>
      </c>
      <c r="D46" t="s">
        <v>151</v>
      </c>
    </row>
  </sheetData>
  <pageMargins left="0.7" right="0.7" top="0.75" bottom="0.75" header="0.3" footer="0.3"/>
  <headerFooter>
    <oddFooter>&amp;C_x000D_&amp;1#&amp;"Aptos"&amp;10&amp;K000000 SITA -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1639-63E1-46FC-99C8-31C16BA9BC05}">
  <dimension ref="A1:D50"/>
  <sheetViews>
    <sheetView topLeftCell="A8" workbookViewId="0">
      <selection activeCell="D19" sqref="D19"/>
    </sheetView>
  </sheetViews>
  <sheetFormatPr defaultRowHeight="14.4" x14ac:dyDescent="0.3"/>
  <cols>
    <col min="1" max="1" width="45.77734375" customWidth="1"/>
    <col min="2" max="3" width="18.77734375" customWidth="1"/>
    <col min="4" max="4" width="15.77734375" customWidth="1"/>
  </cols>
  <sheetData>
    <row r="1" spans="1:4" ht="18" x14ac:dyDescent="0.35">
      <c r="A1" s="2" t="s">
        <v>26</v>
      </c>
    </row>
    <row r="3" spans="1:4" x14ac:dyDescent="0.3">
      <c r="A3" s="3" t="s">
        <v>27</v>
      </c>
    </row>
    <row r="4" spans="1:4" x14ac:dyDescent="0.3">
      <c r="A4" t="s">
        <v>28</v>
      </c>
      <c r="B4">
        <v>2</v>
      </c>
    </row>
    <row r="5" spans="1:4" x14ac:dyDescent="0.3">
      <c r="A5" t="s">
        <v>29</v>
      </c>
      <c r="B5">
        <v>1.5</v>
      </c>
    </row>
    <row r="6" spans="1:4" x14ac:dyDescent="0.3">
      <c r="A6" t="s">
        <v>30</v>
      </c>
      <c r="B6">
        <v>2</v>
      </c>
    </row>
    <row r="7" spans="1:4" x14ac:dyDescent="0.3">
      <c r="A7" t="s">
        <v>31</v>
      </c>
      <c r="B7">
        <v>4</v>
      </c>
    </row>
    <row r="8" spans="1:4" x14ac:dyDescent="0.3">
      <c r="A8" t="s">
        <v>32</v>
      </c>
      <c r="B8">
        <v>25</v>
      </c>
    </row>
    <row r="9" spans="1:4" x14ac:dyDescent="0.3">
      <c r="A9" t="s">
        <v>33</v>
      </c>
      <c r="B9">
        <v>3.84</v>
      </c>
    </row>
    <row r="10" spans="1:4" x14ac:dyDescent="0.3">
      <c r="A10" t="s">
        <v>34</v>
      </c>
      <c r="B10">
        <v>0.65</v>
      </c>
      <c r="C10" t="s">
        <v>35</v>
      </c>
    </row>
    <row r="12" spans="1:4" x14ac:dyDescent="0.3">
      <c r="A12" s="4" t="s">
        <v>36</v>
      </c>
    </row>
    <row r="13" spans="1:4" x14ac:dyDescent="0.3">
      <c r="A13" s="1" t="s">
        <v>37</v>
      </c>
      <c r="B13" s="1" t="s">
        <v>38</v>
      </c>
      <c r="C13" s="1" t="s">
        <v>339</v>
      </c>
      <c r="D13" s="1" t="s">
        <v>340</v>
      </c>
    </row>
    <row r="14" spans="1:4" x14ac:dyDescent="0.3">
      <c r="A14" t="s">
        <v>39</v>
      </c>
      <c r="B14">
        <f>'VM and Cluster Sizing'!B16/5</f>
        <v>2000</v>
      </c>
      <c r="C14">
        <v>50</v>
      </c>
      <c r="D14">
        <f>B14*C14/1024</f>
        <v>97.65625</v>
      </c>
    </row>
    <row r="15" spans="1:4" x14ac:dyDescent="0.3">
      <c r="A15" t="s">
        <v>40</v>
      </c>
      <c r="B15">
        <f>'VM and Cluster Sizing'!B16/5</f>
        <v>2000</v>
      </c>
      <c r="C15">
        <v>100</v>
      </c>
      <c r="D15">
        <f>B15*C15/1024</f>
        <v>195.3125</v>
      </c>
    </row>
    <row r="16" spans="1:4" x14ac:dyDescent="0.3">
      <c r="A16" t="s">
        <v>41</v>
      </c>
      <c r="B16">
        <f>'VM and Cluster Sizing'!B16/5</f>
        <v>2000</v>
      </c>
      <c r="C16">
        <v>150</v>
      </c>
      <c r="D16">
        <f>B16*C16/1024</f>
        <v>292.96875</v>
      </c>
    </row>
    <row r="17" spans="1:4" x14ac:dyDescent="0.3">
      <c r="A17" t="s">
        <v>42</v>
      </c>
      <c r="B17">
        <f>'VM and Cluster Sizing'!B16/5</f>
        <v>2000</v>
      </c>
      <c r="C17">
        <v>30</v>
      </c>
      <c r="D17">
        <f>B17*C17/1024</f>
        <v>58.59375</v>
      </c>
    </row>
    <row r="18" spans="1:4" x14ac:dyDescent="0.3">
      <c r="A18" t="s">
        <v>43</v>
      </c>
      <c r="B18">
        <f>'VM and Cluster Sizing'!B16/5</f>
        <v>2000</v>
      </c>
      <c r="C18">
        <v>80</v>
      </c>
      <c r="D18">
        <f>B18*C18/1024</f>
        <v>156.25</v>
      </c>
    </row>
    <row r="19" spans="1:4" x14ac:dyDescent="0.3">
      <c r="A19" s="1" t="s">
        <v>44</v>
      </c>
      <c r="B19">
        <v>10000</v>
      </c>
      <c r="D19" s="1">
        <f>SUM(D14:D18)</f>
        <v>800.78125</v>
      </c>
    </row>
    <row r="21" spans="1:4" x14ac:dyDescent="0.3">
      <c r="A21" s="4" t="s">
        <v>45</v>
      </c>
    </row>
    <row r="22" spans="1:4" x14ac:dyDescent="0.3">
      <c r="A22" t="s">
        <v>46</v>
      </c>
      <c r="B22">
        <f>B6*B7*B8*B9</f>
        <v>768</v>
      </c>
    </row>
    <row r="23" spans="1:4" x14ac:dyDescent="0.3">
      <c r="A23" t="s">
        <v>47</v>
      </c>
      <c r="B23">
        <f>B22*B10</f>
        <v>499.20000000000005</v>
      </c>
    </row>
    <row r="24" spans="1:4" x14ac:dyDescent="0.3">
      <c r="A24" t="s">
        <v>48</v>
      </c>
      <c r="B24">
        <f>B23*B4*B5</f>
        <v>1497.6000000000001</v>
      </c>
    </row>
    <row r="25" spans="1:4" x14ac:dyDescent="0.3">
      <c r="A25" t="s">
        <v>49</v>
      </c>
      <c r="B25">
        <f>D19</f>
        <v>800.78125</v>
      </c>
    </row>
    <row r="26" spans="1:4" x14ac:dyDescent="0.3">
      <c r="A26" t="s">
        <v>50</v>
      </c>
      <c r="B26">
        <f>B24-B25</f>
        <v>696.81875000000014</v>
      </c>
    </row>
    <row r="27" spans="1:4" x14ac:dyDescent="0.3">
      <c r="A27" t="s">
        <v>51</v>
      </c>
      <c r="B27" s="5">
        <f>B26/B24</f>
        <v>0.46529029780982911</v>
      </c>
    </row>
    <row r="28" spans="1:4" x14ac:dyDescent="0.3">
      <c r="A28" s="1" t="s">
        <v>52</v>
      </c>
      <c r="B28" s="1" t="str">
        <f>IF(B26&gt;0,"YES","NO - ADD MORE STORAGE")</f>
        <v>YES</v>
      </c>
    </row>
    <row r="30" spans="1:4" x14ac:dyDescent="0.3">
      <c r="A30" s="7" t="s">
        <v>152</v>
      </c>
    </row>
    <row r="31" spans="1:4" x14ac:dyDescent="0.3">
      <c r="A31" s="1" t="s">
        <v>153</v>
      </c>
    </row>
    <row r="32" spans="1:4" x14ac:dyDescent="0.3">
      <c r="A32" t="s">
        <v>154</v>
      </c>
      <c r="B32" t="s">
        <v>155</v>
      </c>
    </row>
    <row r="33" spans="1:3" x14ac:dyDescent="0.3">
      <c r="A33" t="s">
        <v>156</v>
      </c>
      <c r="B33" t="s">
        <v>157</v>
      </c>
    </row>
    <row r="34" spans="1:3" x14ac:dyDescent="0.3">
      <c r="A34" t="s">
        <v>158</v>
      </c>
      <c r="B34" s="6">
        <v>1200000</v>
      </c>
    </row>
    <row r="35" spans="1:3" x14ac:dyDescent="0.3">
      <c r="A35" t="s">
        <v>159</v>
      </c>
      <c r="B35" s="6">
        <v>500000</v>
      </c>
    </row>
    <row r="36" spans="1:3" x14ac:dyDescent="0.3">
      <c r="A36" t="s">
        <v>160</v>
      </c>
      <c r="B36" t="s">
        <v>161</v>
      </c>
    </row>
    <row r="37" spans="1:3" x14ac:dyDescent="0.3">
      <c r="A37" t="s">
        <v>162</v>
      </c>
      <c r="B37" t="s">
        <v>163</v>
      </c>
    </row>
    <row r="38" spans="1:3" x14ac:dyDescent="0.3">
      <c r="A38" t="s">
        <v>164</v>
      </c>
      <c r="B38" t="s">
        <v>165</v>
      </c>
    </row>
    <row r="39" spans="1:3" x14ac:dyDescent="0.3">
      <c r="A39" t="s">
        <v>166</v>
      </c>
      <c r="B39" t="s">
        <v>167</v>
      </c>
    </row>
    <row r="40" spans="1:3" x14ac:dyDescent="0.3">
      <c r="A40" t="s">
        <v>168</v>
      </c>
      <c r="B40" t="s">
        <v>169</v>
      </c>
    </row>
    <row r="41" spans="1:3" x14ac:dyDescent="0.3">
      <c r="A41" t="s">
        <v>170</v>
      </c>
      <c r="B41" t="s">
        <v>171</v>
      </c>
    </row>
    <row r="42" spans="1:3" x14ac:dyDescent="0.3">
      <c r="A42" t="s">
        <v>172</v>
      </c>
      <c r="B42" t="s">
        <v>173</v>
      </c>
    </row>
    <row r="43" spans="1:3" x14ac:dyDescent="0.3">
      <c r="A43" t="s">
        <v>174</v>
      </c>
      <c r="B43" t="s">
        <v>175</v>
      </c>
    </row>
    <row r="45" spans="1:3" x14ac:dyDescent="0.3">
      <c r="A45" s="4" t="s">
        <v>176</v>
      </c>
    </row>
    <row r="46" spans="1:3" x14ac:dyDescent="0.3">
      <c r="A46" s="1" t="s">
        <v>177</v>
      </c>
      <c r="B46" s="1" t="s">
        <v>178</v>
      </c>
      <c r="C46" s="1" t="s">
        <v>179</v>
      </c>
    </row>
    <row r="47" spans="1:3" x14ac:dyDescent="0.3">
      <c r="A47" t="s">
        <v>180</v>
      </c>
      <c r="B47" s="6">
        <v>1200000</v>
      </c>
      <c r="C47" s="6">
        <v>2400000</v>
      </c>
    </row>
    <row r="48" spans="1:3" x14ac:dyDescent="0.3">
      <c r="A48" t="s">
        <v>181</v>
      </c>
      <c r="B48" s="6">
        <v>500000</v>
      </c>
      <c r="C48" s="6">
        <v>1000000</v>
      </c>
    </row>
    <row r="49" spans="1:3" x14ac:dyDescent="0.3">
      <c r="A49" t="s">
        <v>182</v>
      </c>
      <c r="C49">
        <f>1000000/10000</f>
        <v>100</v>
      </c>
    </row>
    <row r="50" spans="1:3" x14ac:dyDescent="0.3">
      <c r="A50" t="s">
        <v>183</v>
      </c>
      <c r="B50" t="s">
        <v>163</v>
      </c>
      <c r="C50" t="s">
        <v>163</v>
      </c>
    </row>
  </sheetData>
  <pageMargins left="0.7" right="0.7" top="0.75" bottom="0.75" header="0.3" footer="0.3"/>
  <headerFooter>
    <oddFooter>&amp;C_x000D_&amp;1#&amp;"Aptos"&amp;10&amp;K000000 SITA -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A40E-CBEB-451D-8C4A-EBC4EF333250}">
  <dimension ref="A1:C21"/>
  <sheetViews>
    <sheetView workbookViewId="0">
      <selection activeCell="B4" sqref="B4"/>
    </sheetView>
  </sheetViews>
  <sheetFormatPr defaultRowHeight="14.4" x14ac:dyDescent="0.3"/>
  <cols>
    <col min="1" max="1" width="40.77734375" customWidth="1"/>
    <col min="2" max="2" width="18.77734375" customWidth="1"/>
    <col min="3" max="3" width="30.77734375" customWidth="1"/>
  </cols>
  <sheetData>
    <row r="1" spans="1:2" ht="18" x14ac:dyDescent="0.35">
      <c r="A1" s="2" t="s">
        <v>53</v>
      </c>
    </row>
    <row r="3" spans="1:2" x14ac:dyDescent="0.3">
      <c r="A3" s="3" t="s">
        <v>54</v>
      </c>
    </row>
    <row r="4" spans="1:2" x14ac:dyDescent="0.3">
      <c r="A4" t="s">
        <v>55</v>
      </c>
      <c r="B4">
        <v>60</v>
      </c>
    </row>
    <row r="5" spans="1:2" x14ac:dyDescent="0.3">
      <c r="A5" t="s">
        <v>56</v>
      </c>
      <c r="B5">
        <v>4</v>
      </c>
    </row>
    <row r="6" spans="1:2" x14ac:dyDescent="0.3">
      <c r="A6" t="s">
        <v>57</v>
      </c>
      <c r="B6">
        <v>50</v>
      </c>
    </row>
    <row r="7" spans="1:2" x14ac:dyDescent="0.3">
      <c r="A7" t="s">
        <v>58</v>
      </c>
      <c r="B7">
        <v>500</v>
      </c>
    </row>
    <row r="8" spans="1:2" x14ac:dyDescent="0.3">
      <c r="A8" t="s">
        <v>59</v>
      </c>
      <c r="B8">
        <v>8</v>
      </c>
    </row>
    <row r="9" spans="1:2" x14ac:dyDescent="0.3">
      <c r="A9" t="s">
        <v>60</v>
      </c>
      <c r="B9">
        <v>100</v>
      </c>
    </row>
    <row r="10" spans="1:2" x14ac:dyDescent="0.3">
      <c r="A10" t="s">
        <v>61</v>
      </c>
      <c r="B10">
        <v>5</v>
      </c>
    </row>
    <row r="11" spans="1:2" x14ac:dyDescent="0.3">
      <c r="A11" t="s">
        <v>62</v>
      </c>
      <c r="B11">
        <v>30</v>
      </c>
    </row>
    <row r="13" spans="1:2" x14ac:dyDescent="0.3">
      <c r="A13" s="4" t="s">
        <v>63</v>
      </c>
    </row>
    <row r="14" spans="1:2" x14ac:dyDescent="0.3">
      <c r="A14" t="s">
        <v>64</v>
      </c>
      <c r="B14">
        <f>B4</f>
        <v>60</v>
      </c>
    </row>
    <row r="15" spans="1:2" x14ac:dyDescent="0.3">
      <c r="A15" t="s">
        <v>65</v>
      </c>
      <c r="B15">
        <f>B4*B5</f>
        <v>240</v>
      </c>
    </row>
    <row r="16" spans="1:2" x14ac:dyDescent="0.3">
      <c r="A16" t="s">
        <v>66</v>
      </c>
      <c r="B16">
        <f>B4*B6/1024</f>
        <v>2.9296875</v>
      </c>
    </row>
    <row r="17" spans="1:3" x14ac:dyDescent="0.3">
      <c r="A17" t="s">
        <v>67</v>
      </c>
      <c r="B17">
        <f>B4*B7/1024</f>
        <v>29.296875</v>
      </c>
    </row>
    <row r="18" spans="1:3" x14ac:dyDescent="0.3">
      <c r="A18" t="s">
        <v>68</v>
      </c>
      <c r="B18">
        <f>B4*B8</f>
        <v>480</v>
      </c>
    </row>
    <row r="19" spans="1:3" x14ac:dyDescent="0.3">
      <c r="A19" t="s">
        <v>69</v>
      </c>
      <c r="B19">
        <f>B4*B9/1000</f>
        <v>6</v>
      </c>
    </row>
    <row r="20" spans="1:3" x14ac:dyDescent="0.3">
      <c r="A20" t="s">
        <v>70</v>
      </c>
      <c r="B20">
        <f>B4*(B10+B11)/1000</f>
        <v>2.1</v>
      </c>
    </row>
    <row r="21" spans="1:3" x14ac:dyDescent="0.3">
      <c r="A21" t="s">
        <v>71</v>
      </c>
      <c r="B21">
        <f>ROUNDUP((B15+B18)/512,0)</f>
        <v>2</v>
      </c>
      <c r="C21" t="s">
        <v>72</v>
      </c>
    </row>
  </sheetData>
  <pageMargins left="0.7" right="0.7" top="0.75" bottom="0.75" header="0.3" footer="0.3"/>
  <headerFooter>
    <oddFooter>&amp;C_x000D_&amp;1#&amp;"Aptos"&amp;10&amp;K000000 SITA -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ECFF-00E4-40F1-A5FA-90A44C4AAD48}">
  <dimension ref="A1:K67"/>
  <sheetViews>
    <sheetView workbookViewId="0">
      <selection activeCell="E55" sqref="E55"/>
    </sheetView>
  </sheetViews>
  <sheetFormatPr defaultRowHeight="14.4" x14ac:dyDescent="0.3"/>
  <cols>
    <col min="1" max="1" width="22.77734375" customWidth="1"/>
    <col min="2" max="2" width="84.77734375" customWidth="1"/>
    <col min="3" max="3" width="10.77734375" customWidth="1"/>
    <col min="4" max="4" width="18.77734375" customWidth="1"/>
    <col min="5" max="5" width="27.6640625" bestFit="1" customWidth="1"/>
    <col min="6" max="6" width="12.77734375" customWidth="1"/>
    <col min="7" max="8" width="18.77734375" customWidth="1"/>
    <col min="9" max="9" width="14.77734375" customWidth="1"/>
    <col min="10" max="11" width="22.77734375" customWidth="1"/>
  </cols>
  <sheetData>
    <row r="1" spans="1:11" ht="18" x14ac:dyDescent="0.35">
      <c r="A1" s="19" t="s">
        <v>241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3">
      <c r="A2" s="21" t="s">
        <v>242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x14ac:dyDescent="0.3">
      <c r="A3" s="1" t="s">
        <v>252</v>
      </c>
    </row>
    <row r="4" spans="1:11" x14ac:dyDescent="0.3">
      <c r="A4" s="11" t="s">
        <v>73</v>
      </c>
      <c r="B4" s="11" t="s">
        <v>74</v>
      </c>
      <c r="C4" s="11" t="s">
        <v>243</v>
      </c>
      <c r="D4" s="11" t="s">
        <v>244</v>
      </c>
      <c r="E4" s="11" t="s">
        <v>245</v>
      </c>
      <c r="F4" s="11" t="s">
        <v>246</v>
      </c>
      <c r="G4" s="11" t="s">
        <v>247</v>
      </c>
      <c r="H4" s="11" t="s">
        <v>248</v>
      </c>
      <c r="I4" s="11" t="s">
        <v>249</v>
      </c>
      <c r="J4" s="11" t="s">
        <v>250</v>
      </c>
      <c r="K4" s="11" t="s">
        <v>251</v>
      </c>
    </row>
    <row r="5" spans="1:11" x14ac:dyDescent="0.3">
      <c r="A5" t="s">
        <v>76</v>
      </c>
      <c r="B5" t="s">
        <v>253</v>
      </c>
      <c r="C5">
        <v>120</v>
      </c>
      <c r="D5" s="6">
        <v>18500</v>
      </c>
      <c r="E5" s="6">
        <f t="shared" ref="E5:E19" si="0">C5*D5</f>
        <v>2220000</v>
      </c>
      <c r="F5" s="12">
        <v>0.23</v>
      </c>
      <c r="G5" s="6">
        <f t="shared" ref="G5:G19" si="1">E5*F5</f>
        <v>510600</v>
      </c>
      <c r="H5" s="6">
        <f t="shared" ref="H5:H19" si="2">E5+G5</f>
        <v>2730600</v>
      </c>
      <c r="I5">
        <v>5</v>
      </c>
      <c r="J5" s="6">
        <f>E5*0.15</f>
        <v>333000</v>
      </c>
      <c r="K5" s="6">
        <f t="shared" ref="K5:K19" si="3">J5*I5</f>
        <v>1665000</v>
      </c>
    </row>
    <row r="6" spans="1:11" x14ac:dyDescent="0.3">
      <c r="A6" t="s">
        <v>76</v>
      </c>
      <c r="B6" t="s">
        <v>254</v>
      </c>
      <c r="C6">
        <v>4</v>
      </c>
      <c r="D6" s="6">
        <v>7200</v>
      </c>
      <c r="E6" s="6">
        <f t="shared" si="0"/>
        <v>28800</v>
      </c>
      <c r="F6" s="12">
        <v>0.23</v>
      </c>
      <c r="G6" s="6">
        <f t="shared" si="1"/>
        <v>6624</v>
      </c>
      <c r="H6" s="6">
        <f t="shared" si="2"/>
        <v>35424</v>
      </c>
      <c r="I6">
        <v>5</v>
      </c>
      <c r="J6" s="6">
        <f>E6*0.15</f>
        <v>4320</v>
      </c>
      <c r="K6" s="6">
        <f t="shared" si="3"/>
        <v>21600</v>
      </c>
    </row>
    <row r="7" spans="1:11" x14ac:dyDescent="0.3">
      <c r="A7" t="s">
        <v>77</v>
      </c>
      <c r="B7" t="s">
        <v>255</v>
      </c>
      <c r="C7">
        <v>2</v>
      </c>
      <c r="D7" s="6">
        <v>145000</v>
      </c>
      <c r="E7" s="6">
        <f t="shared" si="0"/>
        <v>290000</v>
      </c>
      <c r="F7" s="12">
        <v>0.23</v>
      </c>
      <c r="G7" s="6">
        <f t="shared" si="1"/>
        <v>66700</v>
      </c>
      <c r="H7" s="6">
        <f t="shared" si="2"/>
        <v>356700</v>
      </c>
      <c r="I7">
        <v>5</v>
      </c>
      <c r="J7" s="6">
        <f>E7*0.18</f>
        <v>52200</v>
      </c>
      <c r="K7" s="6">
        <f t="shared" si="3"/>
        <v>261000</v>
      </c>
    </row>
    <row r="8" spans="1:11" x14ac:dyDescent="0.3">
      <c r="A8" t="s">
        <v>77</v>
      </c>
      <c r="B8" t="s">
        <v>256</v>
      </c>
      <c r="C8">
        <v>8</v>
      </c>
      <c r="D8" s="6">
        <v>48000</v>
      </c>
      <c r="E8" s="6">
        <f t="shared" si="0"/>
        <v>384000</v>
      </c>
      <c r="F8" s="12">
        <v>0.23</v>
      </c>
      <c r="G8" s="6">
        <f t="shared" si="1"/>
        <v>88320</v>
      </c>
      <c r="H8" s="6">
        <f t="shared" si="2"/>
        <v>472320</v>
      </c>
      <c r="I8">
        <v>5</v>
      </c>
      <c r="J8" s="6">
        <f>E8*0.18</f>
        <v>69120</v>
      </c>
      <c r="K8" s="6">
        <f t="shared" si="3"/>
        <v>345600</v>
      </c>
    </row>
    <row r="9" spans="1:11" x14ac:dyDescent="0.3">
      <c r="A9" t="s">
        <v>78</v>
      </c>
      <c r="B9" t="s">
        <v>257</v>
      </c>
      <c r="C9">
        <v>18</v>
      </c>
      <c r="D9" s="6">
        <v>11500</v>
      </c>
      <c r="E9" s="6">
        <f t="shared" si="0"/>
        <v>207000</v>
      </c>
      <c r="F9" s="12">
        <v>0.23</v>
      </c>
      <c r="G9" s="6">
        <f t="shared" si="1"/>
        <v>47610</v>
      </c>
      <c r="H9" s="6">
        <f t="shared" si="2"/>
        <v>254610</v>
      </c>
      <c r="I9">
        <v>5</v>
      </c>
      <c r="J9" s="6">
        <f>E9*0.12</f>
        <v>24840</v>
      </c>
      <c r="K9" s="6">
        <f t="shared" si="3"/>
        <v>124200</v>
      </c>
    </row>
    <row r="10" spans="1:11" x14ac:dyDescent="0.3">
      <c r="A10" t="s">
        <v>78</v>
      </c>
      <c r="B10" t="s">
        <v>258</v>
      </c>
      <c r="C10">
        <v>2</v>
      </c>
      <c r="D10" s="6">
        <v>4800</v>
      </c>
      <c r="E10" s="6">
        <f t="shared" si="0"/>
        <v>9600</v>
      </c>
      <c r="F10" s="12">
        <v>0.23</v>
      </c>
      <c r="G10" s="6">
        <f t="shared" si="1"/>
        <v>2208</v>
      </c>
      <c r="H10" s="6">
        <f t="shared" si="2"/>
        <v>11808</v>
      </c>
      <c r="I10">
        <v>5</v>
      </c>
      <c r="J10" s="6">
        <f>E10*0.12</f>
        <v>1152</v>
      </c>
      <c r="K10" s="6">
        <f t="shared" si="3"/>
        <v>5760</v>
      </c>
    </row>
    <row r="11" spans="1:11" x14ac:dyDescent="0.3">
      <c r="A11" t="s">
        <v>78</v>
      </c>
      <c r="B11" t="s">
        <v>259</v>
      </c>
      <c r="C11">
        <v>4</v>
      </c>
      <c r="D11" s="6">
        <v>1950</v>
      </c>
      <c r="E11" s="6">
        <f t="shared" si="0"/>
        <v>7800</v>
      </c>
      <c r="F11" s="12">
        <v>0.23</v>
      </c>
      <c r="G11" s="6">
        <f t="shared" si="1"/>
        <v>1794</v>
      </c>
      <c r="H11" s="6">
        <f t="shared" si="2"/>
        <v>9594</v>
      </c>
      <c r="I11">
        <v>5</v>
      </c>
      <c r="J11" s="6">
        <f>E11*0.12</f>
        <v>936</v>
      </c>
      <c r="K11" s="6">
        <f t="shared" si="3"/>
        <v>4680</v>
      </c>
    </row>
    <row r="12" spans="1:11" x14ac:dyDescent="0.3">
      <c r="A12" t="s">
        <v>260</v>
      </c>
      <c r="B12" t="s">
        <v>261</v>
      </c>
      <c r="C12">
        <v>4</v>
      </c>
      <c r="D12" s="6">
        <v>24000</v>
      </c>
      <c r="E12" s="6">
        <f t="shared" si="0"/>
        <v>96000</v>
      </c>
      <c r="F12" s="12">
        <v>0.23</v>
      </c>
      <c r="G12" s="6">
        <f t="shared" si="1"/>
        <v>22080</v>
      </c>
      <c r="H12" s="6">
        <f t="shared" si="2"/>
        <v>118080</v>
      </c>
      <c r="I12">
        <v>5</v>
      </c>
      <c r="J12" s="6">
        <f>E12*0.15</f>
        <v>14400</v>
      </c>
      <c r="K12" s="6">
        <f t="shared" si="3"/>
        <v>72000</v>
      </c>
    </row>
    <row r="13" spans="1:11" x14ac:dyDescent="0.3">
      <c r="A13" t="s">
        <v>260</v>
      </c>
      <c r="B13" t="s">
        <v>262</v>
      </c>
      <c r="C13">
        <v>124</v>
      </c>
      <c r="D13" s="6">
        <v>850</v>
      </c>
      <c r="E13" s="6">
        <f t="shared" si="0"/>
        <v>105400</v>
      </c>
      <c r="F13" s="12">
        <v>0.23</v>
      </c>
      <c r="G13" s="6">
        <f t="shared" si="1"/>
        <v>24242</v>
      </c>
      <c r="H13" s="6">
        <f t="shared" si="2"/>
        <v>129642</v>
      </c>
      <c r="I13">
        <v>3</v>
      </c>
      <c r="J13" s="6">
        <f>E13*0.1</f>
        <v>10540</v>
      </c>
      <c r="K13" s="6">
        <f t="shared" si="3"/>
        <v>31620</v>
      </c>
    </row>
    <row r="14" spans="1:11" x14ac:dyDescent="0.3">
      <c r="A14" t="s">
        <v>79</v>
      </c>
      <c r="B14" t="s">
        <v>263</v>
      </c>
      <c r="C14">
        <v>13</v>
      </c>
      <c r="D14" s="6">
        <v>3200</v>
      </c>
      <c r="E14" s="6">
        <f t="shared" si="0"/>
        <v>41600</v>
      </c>
      <c r="F14" s="12">
        <v>0.23</v>
      </c>
      <c r="G14" s="6">
        <f t="shared" si="1"/>
        <v>9568</v>
      </c>
      <c r="H14" s="6">
        <f t="shared" si="2"/>
        <v>51168</v>
      </c>
      <c r="I14">
        <v>0</v>
      </c>
      <c r="J14" s="6">
        <v>0</v>
      </c>
      <c r="K14" s="6">
        <f t="shared" si="3"/>
        <v>0</v>
      </c>
    </row>
    <row r="15" spans="1:11" x14ac:dyDescent="0.3">
      <c r="A15" t="s">
        <v>79</v>
      </c>
      <c r="B15" t="s">
        <v>264</v>
      </c>
      <c r="C15">
        <v>7</v>
      </c>
      <c r="D15" s="6">
        <v>8500</v>
      </c>
      <c r="E15" s="6">
        <f t="shared" si="0"/>
        <v>59500</v>
      </c>
      <c r="F15" s="12">
        <v>0.23</v>
      </c>
      <c r="G15" s="6">
        <f t="shared" si="1"/>
        <v>13685</v>
      </c>
      <c r="H15" s="6">
        <f t="shared" si="2"/>
        <v>73185</v>
      </c>
      <c r="I15">
        <v>5</v>
      </c>
      <c r="J15" s="6">
        <f>E15*0.12</f>
        <v>7140</v>
      </c>
      <c r="K15" s="6">
        <f t="shared" si="3"/>
        <v>35700</v>
      </c>
    </row>
    <row r="16" spans="1:11" x14ac:dyDescent="0.3">
      <c r="A16" t="s">
        <v>79</v>
      </c>
      <c r="B16" t="s">
        <v>265</v>
      </c>
      <c r="C16">
        <v>4</v>
      </c>
      <c r="D16" s="6">
        <v>12000</v>
      </c>
      <c r="E16" s="6">
        <f t="shared" si="0"/>
        <v>48000</v>
      </c>
      <c r="F16" s="12">
        <v>0.23</v>
      </c>
      <c r="G16" s="6">
        <f t="shared" si="1"/>
        <v>11040</v>
      </c>
      <c r="H16" s="6">
        <f t="shared" si="2"/>
        <v>59040</v>
      </c>
      <c r="I16">
        <v>5</v>
      </c>
      <c r="J16" s="6">
        <f>E16*0.15</f>
        <v>7200</v>
      </c>
      <c r="K16" s="6">
        <f t="shared" si="3"/>
        <v>36000</v>
      </c>
    </row>
    <row r="17" spans="1:11" x14ac:dyDescent="0.3">
      <c r="A17" t="s">
        <v>266</v>
      </c>
      <c r="B17" t="s">
        <v>267</v>
      </c>
      <c r="C17">
        <v>240</v>
      </c>
      <c r="D17" s="6">
        <v>85</v>
      </c>
      <c r="E17" s="6">
        <f t="shared" si="0"/>
        <v>20400</v>
      </c>
      <c r="F17" s="12">
        <v>0.23</v>
      </c>
      <c r="G17" s="6">
        <f t="shared" si="1"/>
        <v>4692</v>
      </c>
      <c r="H17" s="6">
        <f t="shared" si="2"/>
        <v>25092</v>
      </c>
      <c r="I17">
        <v>0</v>
      </c>
      <c r="J17" s="6">
        <v>0</v>
      </c>
      <c r="K17" s="6">
        <f t="shared" si="3"/>
        <v>0</v>
      </c>
    </row>
    <row r="18" spans="1:11" x14ac:dyDescent="0.3">
      <c r="A18" t="s">
        <v>266</v>
      </c>
      <c r="B18" t="s">
        <v>268</v>
      </c>
      <c r="C18">
        <v>248</v>
      </c>
      <c r="D18" s="6">
        <v>45</v>
      </c>
      <c r="E18" s="6">
        <f t="shared" si="0"/>
        <v>11160</v>
      </c>
      <c r="F18" s="12">
        <v>0.23</v>
      </c>
      <c r="G18" s="6">
        <f t="shared" si="1"/>
        <v>2566.8000000000002</v>
      </c>
      <c r="H18" s="6">
        <f t="shared" si="2"/>
        <v>13726.8</v>
      </c>
      <c r="I18">
        <v>0</v>
      </c>
      <c r="J18" s="6">
        <v>0</v>
      </c>
      <c r="K18" s="6">
        <f t="shared" si="3"/>
        <v>0</v>
      </c>
    </row>
    <row r="19" spans="1:11" x14ac:dyDescent="0.3">
      <c r="A19" t="s">
        <v>266</v>
      </c>
      <c r="B19" t="s">
        <v>269</v>
      </c>
      <c r="C19">
        <v>200</v>
      </c>
      <c r="D19" s="6">
        <v>12</v>
      </c>
      <c r="E19" s="6">
        <f t="shared" si="0"/>
        <v>2400</v>
      </c>
      <c r="F19" s="12">
        <v>0.23</v>
      </c>
      <c r="G19" s="6">
        <f t="shared" si="1"/>
        <v>552</v>
      </c>
      <c r="H19" s="6">
        <f t="shared" si="2"/>
        <v>2952</v>
      </c>
      <c r="I19">
        <v>0</v>
      </c>
      <c r="J19" s="6">
        <v>0</v>
      </c>
      <c r="K19" s="6">
        <f t="shared" si="3"/>
        <v>0</v>
      </c>
    </row>
    <row r="20" spans="1:11" x14ac:dyDescent="0.3">
      <c r="A20" s="13" t="s">
        <v>270</v>
      </c>
      <c r="B20" s="13"/>
      <c r="C20" s="13"/>
      <c r="D20" s="17"/>
      <c r="E20" s="17">
        <f>SUM(E5:E19)</f>
        <v>3531660</v>
      </c>
      <c r="F20" s="13"/>
      <c r="G20" s="17">
        <f>SUM(G5:G19)</f>
        <v>812281.8</v>
      </c>
      <c r="H20" s="17">
        <f>SUM(H5:H19)</f>
        <v>4343941.8</v>
      </c>
      <c r="I20" s="13"/>
      <c r="J20" s="17">
        <f>SUM(J5:J19)</f>
        <v>524848</v>
      </c>
      <c r="K20" s="17">
        <f>SUM(K5:K19)</f>
        <v>2603160</v>
      </c>
    </row>
    <row r="22" spans="1:11" x14ac:dyDescent="0.3">
      <c r="A22" s="1" t="s">
        <v>271</v>
      </c>
    </row>
    <row r="23" spans="1:11" x14ac:dyDescent="0.3">
      <c r="A23" s="11" t="s">
        <v>73</v>
      </c>
      <c r="B23" s="11" t="s">
        <v>74</v>
      </c>
      <c r="C23" s="11" t="s">
        <v>243</v>
      </c>
      <c r="D23" s="11" t="s">
        <v>244</v>
      </c>
      <c r="E23" s="11" t="s">
        <v>245</v>
      </c>
      <c r="F23" s="11" t="s">
        <v>246</v>
      </c>
      <c r="G23" s="11" t="s">
        <v>247</v>
      </c>
      <c r="H23" s="11" t="s">
        <v>248</v>
      </c>
      <c r="I23" s="11" t="s">
        <v>249</v>
      </c>
      <c r="J23" s="11" t="s">
        <v>250</v>
      </c>
      <c r="K23" s="11" t="s">
        <v>251</v>
      </c>
    </row>
    <row r="24" spans="1:11" x14ac:dyDescent="0.3">
      <c r="A24" t="s">
        <v>272</v>
      </c>
      <c r="B24" t="s">
        <v>273</v>
      </c>
      <c r="C24">
        <v>248</v>
      </c>
      <c r="D24" s="6">
        <v>6000</v>
      </c>
      <c r="E24" s="6">
        <f>C24*D24</f>
        <v>1488000</v>
      </c>
      <c r="F24" s="12">
        <v>0.23</v>
      </c>
      <c r="G24" s="6">
        <f>E24*F24</f>
        <v>342240</v>
      </c>
      <c r="H24" s="6">
        <f>E24+G24</f>
        <v>1830240</v>
      </c>
      <c r="I24">
        <v>5</v>
      </c>
      <c r="J24" s="6">
        <f>E24*0.2</f>
        <v>297600</v>
      </c>
      <c r="K24" s="6">
        <f>J24*I24</f>
        <v>1488000</v>
      </c>
    </row>
    <row r="25" spans="1:11" x14ac:dyDescent="0.3">
      <c r="A25" t="s">
        <v>274</v>
      </c>
      <c r="B25" t="s">
        <v>275</v>
      </c>
      <c r="C25">
        <v>62</v>
      </c>
      <c r="D25" s="6">
        <v>7500</v>
      </c>
      <c r="E25" s="6">
        <f>C25*D25</f>
        <v>465000</v>
      </c>
      <c r="F25" s="12">
        <v>0.23</v>
      </c>
      <c r="G25" s="6">
        <f>E25*F25</f>
        <v>106950</v>
      </c>
      <c r="H25" s="6">
        <f>E25+G25</f>
        <v>571950</v>
      </c>
      <c r="I25">
        <v>0</v>
      </c>
      <c r="J25" s="6">
        <v>0</v>
      </c>
      <c r="K25" s="6">
        <f>J25*I25</f>
        <v>0</v>
      </c>
    </row>
    <row r="26" spans="1:11" x14ac:dyDescent="0.3">
      <c r="A26" t="s">
        <v>276</v>
      </c>
      <c r="B26" t="s">
        <v>277</v>
      </c>
      <c r="C26">
        <v>2</v>
      </c>
      <c r="D26" s="6">
        <v>8500</v>
      </c>
      <c r="E26" s="6">
        <f>C26*D26</f>
        <v>17000</v>
      </c>
      <c r="F26" s="12">
        <v>0.23</v>
      </c>
      <c r="G26" s="6">
        <f>E26*F26</f>
        <v>3910</v>
      </c>
      <c r="H26" s="6">
        <f>E26+G26</f>
        <v>20910</v>
      </c>
      <c r="I26">
        <v>5</v>
      </c>
      <c r="J26" s="6">
        <f>E26*0.2</f>
        <v>3400</v>
      </c>
      <c r="K26" s="6">
        <f>J26*I26</f>
        <v>17000</v>
      </c>
    </row>
    <row r="27" spans="1:11" x14ac:dyDescent="0.3">
      <c r="A27" t="s">
        <v>278</v>
      </c>
      <c r="B27" t="s">
        <v>279</v>
      </c>
      <c r="C27">
        <v>248</v>
      </c>
      <c r="D27" s="6">
        <v>350</v>
      </c>
      <c r="E27" s="6">
        <f>C27*D27</f>
        <v>86800</v>
      </c>
      <c r="F27" s="12">
        <v>0.23</v>
      </c>
      <c r="G27" s="6">
        <f>E27*F27</f>
        <v>19964</v>
      </c>
      <c r="H27" s="6">
        <f>E27+G27</f>
        <v>106764</v>
      </c>
      <c r="I27">
        <v>1</v>
      </c>
      <c r="J27" s="6">
        <f>E27</f>
        <v>86800</v>
      </c>
      <c r="K27" s="6">
        <f>J27*I27</f>
        <v>86800</v>
      </c>
    </row>
    <row r="28" spans="1:11" x14ac:dyDescent="0.3">
      <c r="A28" t="s">
        <v>280</v>
      </c>
      <c r="B28" t="s">
        <v>281</v>
      </c>
      <c r="C28">
        <v>1</v>
      </c>
      <c r="D28" s="6">
        <v>4500</v>
      </c>
      <c r="E28" s="6">
        <f>C28*D28</f>
        <v>4500</v>
      </c>
      <c r="F28" s="12">
        <v>0.23</v>
      </c>
      <c r="G28" s="6">
        <f>E28*F28</f>
        <v>1035</v>
      </c>
      <c r="H28" s="6">
        <f>E28+G28</f>
        <v>5535</v>
      </c>
      <c r="I28">
        <v>1</v>
      </c>
      <c r="J28" s="6">
        <f>E28</f>
        <v>4500</v>
      </c>
      <c r="K28" s="6">
        <f>J28*I28</f>
        <v>4500</v>
      </c>
    </row>
    <row r="29" spans="1:11" x14ac:dyDescent="0.3">
      <c r="A29" s="13" t="s">
        <v>282</v>
      </c>
      <c r="B29" s="13"/>
      <c r="C29" s="13"/>
      <c r="D29" s="17"/>
      <c r="E29" s="17">
        <f>SUM(E24:E28)</f>
        <v>2061300</v>
      </c>
      <c r="F29" s="13"/>
      <c r="G29" s="17">
        <f>SUM(G24:G28)</f>
        <v>474099</v>
      </c>
      <c r="H29" s="17">
        <f>SUM(H24:H28)</f>
        <v>2535399</v>
      </c>
      <c r="I29" s="13"/>
      <c r="J29" s="17">
        <f>SUM(J24:J28)</f>
        <v>392300</v>
      </c>
      <c r="K29" s="17">
        <f>SUM(K24:K28)</f>
        <v>1596300</v>
      </c>
    </row>
    <row r="31" spans="1:11" x14ac:dyDescent="0.3">
      <c r="A31" s="1" t="s">
        <v>283</v>
      </c>
    </row>
    <row r="32" spans="1:11" x14ac:dyDescent="0.3">
      <c r="A32" s="14" t="s">
        <v>284</v>
      </c>
      <c r="B32" s="14" t="s">
        <v>285</v>
      </c>
      <c r="C32" s="14" t="s">
        <v>286</v>
      </c>
      <c r="D32" s="14" t="s">
        <v>287</v>
      </c>
      <c r="E32" s="14" t="s">
        <v>288</v>
      </c>
      <c r="F32" s="14" t="s">
        <v>245</v>
      </c>
      <c r="G32" s="14" t="s">
        <v>246</v>
      </c>
      <c r="H32" s="14" t="s">
        <v>247</v>
      </c>
      <c r="I32" s="14" t="s">
        <v>248</v>
      </c>
    </row>
    <row r="33" spans="1:9" x14ac:dyDescent="0.3">
      <c r="A33" t="s">
        <v>289</v>
      </c>
      <c r="B33" t="s">
        <v>290</v>
      </c>
      <c r="C33">
        <v>1</v>
      </c>
      <c r="D33">
        <v>120</v>
      </c>
      <c r="E33" s="6">
        <v>750</v>
      </c>
      <c r="F33" s="6">
        <f t="shared" ref="F33:F47" si="4">C33*D33*E33</f>
        <v>90000</v>
      </c>
      <c r="G33" s="12">
        <v>0.23</v>
      </c>
      <c r="H33" s="6">
        <f t="shared" ref="H33:H47" si="5">F33*G33</f>
        <v>20700</v>
      </c>
      <c r="I33" s="6">
        <f t="shared" ref="I33:I47" si="6">F33+H33</f>
        <v>110700</v>
      </c>
    </row>
    <row r="34" spans="1:9" x14ac:dyDescent="0.3">
      <c r="A34" t="s">
        <v>291</v>
      </c>
      <c r="B34" t="s">
        <v>292</v>
      </c>
      <c r="C34">
        <v>1</v>
      </c>
      <c r="D34">
        <v>60</v>
      </c>
      <c r="E34" s="6">
        <v>950</v>
      </c>
      <c r="F34" s="6">
        <f t="shared" si="4"/>
        <v>57000</v>
      </c>
      <c r="G34" s="12">
        <v>0.23</v>
      </c>
      <c r="H34" s="6">
        <f t="shared" si="5"/>
        <v>13110</v>
      </c>
      <c r="I34" s="6">
        <f t="shared" si="6"/>
        <v>70110</v>
      </c>
    </row>
    <row r="35" spans="1:9" x14ac:dyDescent="0.3">
      <c r="A35" t="s">
        <v>293</v>
      </c>
      <c r="B35" t="s">
        <v>294</v>
      </c>
      <c r="C35">
        <v>2</v>
      </c>
      <c r="D35">
        <v>45</v>
      </c>
      <c r="E35" s="6">
        <v>650</v>
      </c>
      <c r="F35" s="6">
        <f t="shared" si="4"/>
        <v>58500</v>
      </c>
      <c r="G35" s="12">
        <v>0.23</v>
      </c>
      <c r="H35" s="6">
        <f t="shared" si="5"/>
        <v>13455</v>
      </c>
      <c r="I35" s="6">
        <f t="shared" si="6"/>
        <v>71955</v>
      </c>
    </row>
    <row r="36" spans="1:9" x14ac:dyDescent="0.3">
      <c r="A36" t="s">
        <v>295</v>
      </c>
      <c r="B36" t="s">
        <v>296</v>
      </c>
      <c r="C36">
        <v>2</v>
      </c>
      <c r="D36">
        <v>40</v>
      </c>
      <c r="E36" s="6">
        <v>700</v>
      </c>
      <c r="F36" s="6">
        <f t="shared" si="4"/>
        <v>56000</v>
      </c>
      <c r="G36" s="12">
        <v>0.23</v>
      </c>
      <c r="H36" s="6">
        <f t="shared" si="5"/>
        <v>12880</v>
      </c>
      <c r="I36" s="6">
        <f t="shared" si="6"/>
        <v>68880</v>
      </c>
    </row>
    <row r="37" spans="1:9" x14ac:dyDescent="0.3">
      <c r="A37" t="s">
        <v>297</v>
      </c>
      <c r="B37" t="s">
        <v>298</v>
      </c>
      <c r="C37">
        <v>1</v>
      </c>
      <c r="D37">
        <v>35</v>
      </c>
      <c r="E37" s="6">
        <v>750</v>
      </c>
      <c r="F37" s="6">
        <f t="shared" si="4"/>
        <v>26250</v>
      </c>
      <c r="G37" s="12">
        <v>0.23</v>
      </c>
      <c r="H37" s="6">
        <f t="shared" si="5"/>
        <v>6037.5</v>
      </c>
      <c r="I37" s="6">
        <f t="shared" si="6"/>
        <v>32287.5</v>
      </c>
    </row>
    <row r="38" spans="1:9" x14ac:dyDescent="0.3">
      <c r="A38" t="s">
        <v>299</v>
      </c>
      <c r="B38" t="s">
        <v>300</v>
      </c>
      <c r="C38">
        <v>2</v>
      </c>
      <c r="D38">
        <v>40</v>
      </c>
      <c r="E38" s="6">
        <v>700</v>
      </c>
      <c r="F38" s="6">
        <f t="shared" si="4"/>
        <v>56000</v>
      </c>
      <c r="G38" s="12">
        <v>0.23</v>
      </c>
      <c r="H38" s="6">
        <f t="shared" si="5"/>
        <v>12880</v>
      </c>
      <c r="I38" s="6">
        <f t="shared" si="6"/>
        <v>68880</v>
      </c>
    </row>
    <row r="39" spans="1:9" x14ac:dyDescent="0.3">
      <c r="A39" t="s">
        <v>301</v>
      </c>
      <c r="B39" t="s">
        <v>302</v>
      </c>
      <c r="C39">
        <v>1</v>
      </c>
      <c r="D39">
        <v>30</v>
      </c>
      <c r="E39" s="6">
        <v>650</v>
      </c>
      <c r="F39" s="6">
        <f t="shared" si="4"/>
        <v>19500</v>
      </c>
      <c r="G39" s="12">
        <v>0.23</v>
      </c>
      <c r="H39" s="6">
        <f t="shared" si="5"/>
        <v>4485</v>
      </c>
      <c r="I39" s="6">
        <f t="shared" si="6"/>
        <v>23985</v>
      </c>
    </row>
    <row r="40" spans="1:9" x14ac:dyDescent="0.3">
      <c r="A40" t="s">
        <v>303</v>
      </c>
      <c r="B40" t="s">
        <v>304</v>
      </c>
      <c r="C40">
        <v>1</v>
      </c>
      <c r="D40">
        <v>25</v>
      </c>
      <c r="E40" s="6">
        <v>700</v>
      </c>
      <c r="F40" s="6">
        <f t="shared" si="4"/>
        <v>17500</v>
      </c>
      <c r="G40" s="12">
        <v>0.23</v>
      </c>
      <c r="H40" s="6">
        <f t="shared" si="5"/>
        <v>4025</v>
      </c>
      <c r="I40" s="6">
        <f t="shared" si="6"/>
        <v>21525</v>
      </c>
    </row>
    <row r="41" spans="1:9" x14ac:dyDescent="0.3">
      <c r="A41" t="s">
        <v>305</v>
      </c>
      <c r="B41" t="s">
        <v>306</v>
      </c>
      <c r="C41">
        <v>1</v>
      </c>
      <c r="D41">
        <v>20</v>
      </c>
      <c r="E41" s="6">
        <v>600</v>
      </c>
      <c r="F41" s="6">
        <f t="shared" si="4"/>
        <v>12000</v>
      </c>
      <c r="G41" s="12">
        <v>0.23</v>
      </c>
      <c r="H41" s="6">
        <f t="shared" si="5"/>
        <v>2760</v>
      </c>
      <c r="I41" s="6">
        <f t="shared" si="6"/>
        <v>14760</v>
      </c>
    </row>
    <row r="42" spans="1:9" x14ac:dyDescent="0.3">
      <c r="A42" t="s">
        <v>307</v>
      </c>
      <c r="B42" t="s">
        <v>308</v>
      </c>
      <c r="C42">
        <v>4</v>
      </c>
      <c r="D42">
        <v>15</v>
      </c>
      <c r="E42" s="6">
        <v>450</v>
      </c>
      <c r="F42" s="6">
        <f t="shared" si="4"/>
        <v>27000</v>
      </c>
      <c r="G42" s="12">
        <v>0.23</v>
      </c>
      <c r="H42" s="6">
        <f t="shared" si="5"/>
        <v>6210</v>
      </c>
      <c r="I42" s="6">
        <f t="shared" si="6"/>
        <v>33210</v>
      </c>
    </row>
    <row r="43" spans="1:9" x14ac:dyDescent="0.3">
      <c r="A43" t="s">
        <v>309</v>
      </c>
      <c r="B43" t="s">
        <v>310</v>
      </c>
      <c r="C43">
        <v>2</v>
      </c>
      <c r="D43">
        <v>10</v>
      </c>
      <c r="E43" s="6">
        <v>550</v>
      </c>
      <c r="F43" s="6">
        <f t="shared" si="4"/>
        <v>11000</v>
      </c>
      <c r="G43" s="12">
        <v>0.23</v>
      </c>
      <c r="H43" s="6">
        <f t="shared" si="5"/>
        <v>2530</v>
      </c>
      <c r="I43" s="6">
        <f t="shared" si="6"/>
        <v>13530</v>
      </c>
    </row>
    <row r="44" spans="1:9" x14ac:dyDescent="0.3">
      <c r="A44" t="s">
        <v>311</v>
      </c>
      <c r="B44" t="s">
        <v>312</v>
      </c>
      <c r="C44">
        <v>1</v>
      </c>
      <c r="D44">
        <v>10</v>
      </c>
      <c r="E44" s="6">
        <v>500</v>
      </c>
      <c r="F44" s="6">
        <f t="shared" si="4"/>
        <v>5000</v>
      </c>
      <c r="G44" s="12">
        <v>0.23</v>
      </c>
      <c r="H44" s="6">
        <f t="shared" si="5"/>
        <v>1150</v>
      </c>
      <c r="I44" s="6">
        <f t="shared" si="6"/>
        <v>6150</v>
      </c>
    </row>
    <row r="45" spans="1:9" x14ac:dyDescent="0.3">
      <c r="A45" t="s">
        <v>313</v>
      </c>
      <c r="B45" t="s">
        <v>314</v>
      </c>
      <c r="C45">
        <v>1</v>
      </c>
      <c r="D45">
        <v>20</v>
      </c>
      <c r="E45" s="6">
        <v>600</v>
      </c>
      <c r="F45" s="6">
        <f t="shared" si="4"/>
        <v>12000</v>
      </c>
      <c r="G45" s="12">
        <v>0.23</v>
      </c>
      <c r="H45" s="6">
        <f t="shared" si="5"/>
        <v>2760</v>
      </c>
      <c r="I45" s="6">
        <f t="shared" si="6"/>
        <v>14760</v>
      </c>
    </row>
    <row r="46" spans="1:9" x14ac:dyDescent="0.3">
      <c r="A46" t="s">
        <v>315</v>
      </c>
      <c r="B46" t="s">
        <v>316</v>
      </c>
      <c r="C46">
        <v>1</v>
      </c>
      <c r="D46">
        <v>15</v>
      </c>
      <c r="E46" s="6">
        <v>500</v>
      </c>
      <c r="F46" s="6">
        <f t="shared" si="4"/>
        <v>7500</v>
      </c>
      <c r="G46" s="12">
        <v>0.23</v>
      </c>
      <c r="H46" s="6">
        <f t="shared" si="5"/>
        <v>1725</v>
      </c>
      <c r="I46" s="6">
        <f t="shared" si="6"/>
        <v>9225</v>
      </c>
    </row>
    <row r="47" spans="1:9" x14ac:dyDescent="0.3">
      <c r="A47" t="s">
        <v>317</v>
      </c>
      <c r="B47" t="s">
        <v>318</v>
      </c>
      <c r="C47">
        <v>1</v>
      </c>
      <c r="D47">
        <v>10</v>
      </c>
      <c r="E47" s="6">
        <v>800</v>
      </c>
      <c r="F47" s="6">
        <f t="shared" si="4"/>
        <v>8000</v>
      </c>
      <c r="G47" s="12">
        <v>0.23</v>
      </c>
      <c r="H47" s="6">
        <f t="shared" si="5"/>
        <v>1840</v>
      </c>
      <c r="I47" s="6">
        <f t="shared" si="6"/>
        <v>9840</v>
      </c>
    </row>
    <row r="48" spans="1:9" x14ac:dyDescent="0.3">
      <c r="A48" s="13" t="s">
        <v>319</v>
      </c>
      <c r="B48" s="13"/>
      <c r="C48" s="13"/>
      <c r="D48" s="13"/>
      <c r="E48" s="17"/>
      <c r="F48" s="17">
        <f>SUM(F33:F47)</f>
        <v>463250</v>
      </c>
      <c r="G48" s="13"/>
      <c r="H48" s="17">
        <f>SUM(H33:H47)</f>
        <v>106547.5</v>
      </c>
      <c r="I48" s="17">
        <f>SUM(I33:I47)</f>
        <v>569797.5</v>
      </c>
    </row>
    <row r="50" spans="1:11" ht="15.6" x14ac:dyDescent="0.3">
      <c r="A50" s="15" t="s">
        <v>320</v>
      </c>
    </row>
    <row r="51" spans="1:11" x14ac:dyDescent="0.3">
      <c r="A51" s="16" t="s">
        <v>321</v>
      </c>
      <c r="B51" s="16" t="s">
        <v>245</v>
      </c>
      <c r="C51" s="16" t="s">
        <v>247</v>
      </c>
      <c r="D51" s="16" t="s">
        <v>248</v>
      </c>
      <c r="E51" s="16" t="s">
        <v>322</v>
      </c>
    </row>
    <row r="52" spans="1:11" x14ac:dyDescent="0.3">
      <c r="A52" t="s">
        <v>323</v>
      </c>
      <c r="B52" s="6">
        <f>E20</f>
        <v>3531660</v>
      </c>
      <c r="C52" s="6">
        <f>G20</f>
        <v>812281.8</v>
      </c>
      <c r="D52" s="6">
        <f>H20</f>
        <v>4343941.8</v>
      </c>
      <c r="E52" s="6">
        <f>K20</f>
        <v>2603160</v>
      </c>
    </row>
    <row r="53" spans="1:11" x14ac:dyDescent="0.3">
      <c r="A53" t="s">
        <v>324</v>
      </c>
      <c r="B53" s="6">
        <f>E29</f>
        <v>2061300</v>
      </c>
      <c r="C53" s="6">
        <f>G29</f>
        <v>474099</v>
      </c>
      <c r="D53" s="6">
        <f>H29</f>
        <v>2535399</v>
      </c>
      <c r="E53" s="6">
        <f>K29</f>
        <v>1596300</v>
      </c>
    </row>
    <row r="54" spans="1:11" x14ac:dyDescent="0.3">
      <c r="A54" t="s">
        <v>325</v>
      </c>
      <c r="B54" s="6">
        <f>F48</f>
        <v>463250</v>
      </c>
      <c r="C54" s="6">
        <f>H48</f>
        <v>106547.5</v>
      </c>
      <c r="D54" s="6">
        <f>I48</f>
        <v>569797.5</v>
      </c>
      <c r="E54" s="6" t="s">
        <v>326</v>
      </c>
    </row>
    <row r="55" spans="1:11" x14ac:dyDescent="0.3">
      <c r="A55" s="3" t="s">
        <v>327</v>
      </c>
      <c r="B55" s="18">
        <f>SUM(B52:B54)</f>
        <v>6056210</v>
      </c>
      <c r="C55" s="18">
        <f>SUM(C52:C54)</f>
        <v>1392928.3</v>
      </c>
      <c r="D55" s="18">
        <f>SUM(D52:D54)</f>
        <v>7449138.2999999998</v>
      </c>
      <c r="E55" s="18">
        <f>SUM(B52:B53)*0+K20+K29</f>
        <v>4199460</v>
      </c>
    </row>
    <row r="57" spans="1:11" x14ac:dyDescent="0.3">
      <c r="A57" s="1" t="s">
        <v>328</v>
      </c>
    </row>
    <row r="58" spans="1:11" x14ac:dyDescent="0.3">
      <c r="A58" s="20" t="s">
        <v>329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 t="s">
        <v>330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 t="s">
        <v>331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 t="s">
        <v>332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 t="s">
        <v>333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 t="s">
        <v>334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 t="s">
        <v>335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 t="s">
        <v>336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 t="s">
        <v>337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 t="s">
        <v>338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</row>
  </sheetData>
  <mergeCells count="12">
    <mergeCell ref="A66:K66"/>
    <mergeCell ref="A67:K67"/>
    <mergeCell ref="A61:K61"/>
    <mergeCell ref="A62:K62"/>
    <mergeCell ref="A63:K63"/>
    <mergeCell ref="A64:K64"/>
    <mergeCell ref="A65:K65"/>
    <mergeCell ref="A1:K1"/>
    <mergeCell ref="A2:K2"/>
    <mergeCell ref="A58:K58"/>
    <mergeCell ref="A59:K59"/>
    <mergeCell ref="A60:K60"/>
  </mergeCells>
  <pageMargins left="0.7" right="0.7" top="0.75" bottom="0.75" header="0.3" footer="0.3"/>
  <headerFooter>
    <oddFooter>&amp;C_x000D_&amp;1#&amp;"Aptos"&amp;10&amp;K000000 SITA - Internal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4919-9159-4B8D-B39B-F9EC89E19764}">
  <dimension ref="A1:E23"/>
  <sheetViews>
    <sheetView workbookViewId="0"/>
  </sheetViews>
  <sheetFormatPr defaultRowHeight="14.4" x14ac:dyDescent="0.3"/>
  <cols>
    <col min="1" max="1" width="35.77734375" customWidth="1"/>
    <col min="2" max="2" width="15.77734375" customWidth="1"/>
    <col min="3" max="3" width="30.77734375" customWidth="1"/>
    <col min="4" max="4" width="18.77734375" customWidth="1"/>
    <col min="5" max="5" width="50.77734375" customWidth="1"/>
  </cols>
  <sheetData>
    <row r="1" spans="1:5" ht="18" x14ac:dyDescent="0.35">
      <c r="A1" s="2" t="s">
        <v>80</v>
      </c>
    </row>
    <row r="3" spans="1:5" x14ac:dyDescent="0.3">
      <c r="A3" s="3" t="s">
        <v>81</v>
      </c>
    </row>
    <row r="4" spans="1:5" x14ac:dyDescent="0.3">
      <c r="A4" s="1" t="s">
        <v>82</v>
      </c>
      <c r="B4" s="1" t="s">
        <v>75</v>
      </c>
      <c r="C4" s="1" t="s">
        <v>83</v>
      </c>
      <c r="D4" s="1" t="s">
        <v>84</v>
      </c>
    </row>
    <row r="5" spans="1:5" x14ac:dyDescent="0.3">
      <c r="A5" t="s">
        <v>85</v>
      </c>
      <c r="B5">
        <f>'VM and Cluster Sizing'!B31</f>
        <v>120</v>
      </c>
      <c r="C5">
        <v>750</v>
      </c>
      <c r="D5">
        <f>B5*C5/1000</f>
        <v>90</v>
      </c>
      <c r="E5" t="s">
        <v>184</v>
      </c>
    </row>
    <row r="6" spans="1:5" x14ac:dyDescent="0.3">
      <c r="A6" t="s">
        <v>86</v>
      </c>
      <c r="B6">
        <v>4</v>
      </c>
      <c r="C6">
        <v>350</v>
      </c>
      <c r="D6">
        <f>B6*C6/1000</f>
        <v>1.4</v>
      </c>
      <c r="E6" t="s">
        <v>185</v>
      </c>
    </row>
    <row r="7" spans="1:5" x14ac:dyDescent="0.3">
      <c r="A7" t="s">
        <v>87</v>
      </c>
      <c r="B7">
        <f>'Storage Sizing'!B6</f>
        <v>2</v>
      </c>
      <c r="C7">
        <v>2200</v>
      </c>
      <c r="D7">
        <f>B7*C7/1000</f>
        <v>4.4000000000000004</v>
      </c>
      <c r="E7" t="s">
        <v>186</v>
      </c>
    </row>
    <row r="8" spans="1:5" x14ac:dyDescent="0.3">
      <c r="A8" t="s">
        <v>88</v>
      </c>
      <c r="B8">
        <v>24</v>
      </c>
      <c r="C8">
        <v>180</v>
      </c>
      <c r="D8">
        <f>B8*C8/1000</f>
        <v>4.32</v>
      </c>
      <c r="E8" t="s">
        <v>187</v>
      </c>
    </row>
    <row r="9" spans="1:5" x14ac:dyDescent="0.3">
      <c r="A9" s="1" t="s">
        <v>89</v>
      </c>
      <c r="D9" s="1">
        <f>SUM(D5:D8)</f>
        <v>100.12</v>
      </c>
    </row>
    <row r="10" spans="1:5" x14ac:dyDescent="0.3">
      <c r="A10" t="s">
        <v>90</v>
      </c>
      <c r="B10">
        <v>1.2</v>
      </c>
      <c r="C10" t="s">
        <v>91</v>
      </c>
    </row>
    <row r="11" spans="1:5" x14ac:dyDescent="0.3">
      <c r="A11" s="1" t="s">
        <v>92</v>
      </c>
      <c r="D11" s="1">
        <f>D9*B10</f>
        <v>120.14400000000001</v>
      </c>
    </row>
    <row r="13" spans="1:5" x14ac:dyDescent="0.3">
      <c r="A13" t="s">
        <v>93</v>
      </c>
      <c r="C13" t="s">
        <v>94</v>
      </c>
      <c r="D13">
        <f>D11/3.517</f>
        <v>34.160932613022467</v>
      </c>
    </row>
    <row r="15" spans="1:5" x14ac:dyDescent="0.3">
      <c r="A15" s="4" t="s">
        <v>95</v>
      </c>
    </row>
    <row r="16" spans="1:5" x14ac:dyDescent="0.3">
      <c r="A16" t="s">
        <v>341</v>
      </c>
      <c r="B16">
        <v>6</v>
      </c>
    </row>
    <row r="17" spans="1:3" x14ac:dyDescent="0.3">
      <c r="A17" t="s">
        <v>96</v>
      </c>
      <c r="B17">
        <v>1</v>
      </c>
    </row>
    <row r="18" spans="1:3" x14ac:dyDescent="0.3">
      <c r="A18" t="s">
        <v>97</v>
      </c>
      <c r="B18">
        <v>2</v>
      </c>
    </row>
    <row r="19" spans="1:3" x14ac:dyDescent="0.3">
      <c r="A19" t="s">
        <v>98</v>
      </c>
      <c r="B19">
        <v>2</v>
      </c>
    </row>
    <row r="20" spans="1:3" x14ac:dyDescent="0.3">
      <c r="A20" s="1" t="s">
        <v>99</v>
      </c>
      <c r="B20" s="1">
        <f>SUM(B16:B19)</f>
        <v>11</v>
      </c>
    </row>
    <row r="22" spans="1:3" x14ac:dyDescent="0.3">
      <c r="A22" t="s">
        <v>100</v>
      </c>
      <c r="B22">
        <v>3.5</v>
      </c>
      <c r="C22" t="s">
        <v>101</v>
      </c>
    </row>
    <row r="23" spans="1:3" x14ac:dyDescent="0.3">
      <c r="A23" s="1" t="s">
        <v>102</v>
      </c>
      <c r="B23" s="1">
        <f>B20*B22</f>
        <v>38.5</v>
      </c>
    </row>
  </sheetData>
  <pageMargins left="0.7" right="0.7" top="0.75" bottom="0.75" header="0.3" footer="0.3"/>
  <headerFooter>
    <oddFooter>&amp;C_x000D_&amp;1#&amp;"Aptos"&amp;10&amp;K000000 SITA - Internal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012E-D8A9-4182-AED1-1EF3F21529E6}">
  <dimension ref="A1:E28"/>
  <sheetViews>
    <sheetView workbookViewId="0"/>
  </sheetViews>
  <sheetFormatPr defaultRowHeight="14.4" x14ac:dyDescent="0.3"/>
  <cols>
    <col min="1" max="2" width="32.77734375" customWidth="1"/>
    <col min="3" max="3" width="80.77734375" customWidth="1"/>
    <col min="4" max="4" width="18.77734375" customWidth="1"/>
    <col min="5" max="5" width="30.77734375" customWidth="1"/>
  </cols>
  <sheetData>
    <row r="1" spans="1:5" ht="18" x14ac:dyDescent="0.35">
      <c r="A1" s="2" t="s">
        <v>188</v>
      </c>
    </row>
    <row r="2" spans="1:5" x14ac:dyDescent="0.3">
      <c r="A2" s="8" t="s">
        <v>189</v>
      </c>
    </row>
    <row r="4" spans="1:5" x14ac:dyDescent="0.3">
      <c r="A4" s="9" t="s">
        <v>116</v>
      </c>
      <c r="B4" s="9" t="s">
        <v>190</v>
      </c>
      <c r="C4" s="9" t="s">
        <v>191</v>
      </c>
      <c r="D4" s="9" t="s">
        <v>192</v>
      </c>
      <c r="E4" s="9" t="s">
        <v>193</v>
      </c>
    </row>
    <row r="5" spans="1:5" x14ac:dyDescent="0.3">
      <c r="A5" s="10" t="s">
        <v>194</v>
      </c>
    </row>
    <row r="6" spans="1:5" x14ac:dyDescent="0.3">
      <c r="A6" t="s">
        <v>195</v>
      </c>
      <c r="B6" t="s">
        <v>196</v>
      </c>
      <c r="C6" t="s">
        <v>197</v>
      </c>
      <c r="D6" s="6">
        <v>18500</v>
      </c>
      <c r="E6" t="s">
        <v>198</v>
      </c>
    </row>
    <row r="7" spans="1:5" x14ac:dyDescent="0.3">
      <c r="A7" t="s">
        <v>199</v>
      </c>
      <c r="B7" t="s">
        <v>200</v>
      </c>
      <c r="C7" t="s">
        <v>201</v>
      </c>
      <c r="D7" s="6">
        <v>7200</v>
      </c>
      <c r="E7" t="s">
        <v>198</v>
      </c>
    </row>
    <row r="9" spans="1:5" x14ac:dyDescent="0.3">
      <c r="A9" s="10" t="s">
        <v>202</v>
      </c>
    </row>
    <row r="10" spans="1:5" x14ac:dyDescent="0.3">
      <c r="A10" t="s">
        <v>203</v>
      </c>
      <c r="B10" t="s">
        <v>125</v>
      </c>
      <c r="C10" t="s">
        <v>204</v>
      </c>
      <c r="D10" s="6">
        <v>145000</v>
      </c>
      <c r="E10" t="s">
        <v>198</v>
      </c>
    </row>
    <row r="11" spans="1:5" x14ac:dyDescent="0.3">
      <c r="A11" t="s">
        <v>205</v>
      </c>
      <c r="B11" t="s">
        <v>206</v>
      </c>
      <c r="C11" t="s">
        <v>207</v>
      </c>
      <c r="D11" s="6">
        <v>48000</v>
      </c>
      <c r="E11" t="s">
        <v>198</v>
      </c>
    </row>
    <row r="12" spans="1:5" x14ac:dyDescent="0.3">
      <c r="A12" t="s">
        <v>208</v>
      </c>
      <c r="B12" t="s">
        <v>209</v>
      </c>
      <c r="C12" t="s">
        <v>210</v>
      </c>
      <c r="D12">
        <v>420</v>
      </c>
      <c r="E12" t="s">
        <v>211</v>
      </c>
    </row>
    <row r="14" spans="1:5" x14ac:dyDescent="0.3">
      <c r="A14" s="10" t="s">
        <v>212</v>
      </c>
    </row>
    <row r="15" spans="1:5" x14ac:dyDescent="0.3">
      <c r="A15" t="s">
        <v>213</v>
      </c>
      <c r="B15" t="s">
        <v>214</v>
      </c>
      <c r="C15" t="s">
        <v>215</v>
      </c>
      <c r="D15" s="6">
        <v>11500</v>
      </c>
      <c r="E15" t="s">
        <v>198</v>
      </c>
    </row>
    <row r="16" spans="1:5" x14ac:dyDescent="0.3">
      <c r="A16" t="s">
        <v>216</v>
      </c>
      <c r="B16" t="s">
        <v>217</v>
      </c>
      <c r="C16" t="s">
        <v>218</v>
      </c>
      <c r="D16" s="6">
        <v>4800</v>
      </c>
      <c r="E16" t="s">
        <v>198</v>
      </c>
    </row>
    <row r="17" spans="1:5" x14ac:dyDescent="0.3">
      <c r="A17" t="s">
        <v>219</v>
      </c>
      <c r="B17" t="s">
        <v>220</v>
      </c>
      <c r="C17" t="s">
        <v>221</v>
      </c>
      <c r="D17" s="6">
        <v>1950</v>
      </c>
      <c r="E17" t="s">
        <v>198</v>
      </c>
    </row>
    <row r="19" spans="1:5" x14ac:dyDescent="0.3">
      <c r="A19" s="10" t="s">
        <v>222</v>
      </c>
    </row>
    <row r="20" spans="1:5" x14ac:dyDescent="0.3">
      <c r="A20" t="s">
        <v>223</v>
      </c>
      <c r="B20" t="s">
        <v>224</v>
      </c>
      <c r="C20" t="s">
        <v>225</v>
      </c>
      <c r="D20" s="6">
        <v>24000</v>
      </c>
      <c r="E20" t="s">
        <v>226</v>
      </c>
    </row>
    <row r="21" spans="1:5" x14ac:dyDescent="0.3">
      <c r="A21" t="s">
        <v>227</v>
      </c>
      <c r="B21" t="s">
        <v>140</v>
      </c>
      <c r="C21" t="s">
        <v>228</v>
      </c>
      <c r="D21">
        <v>850</v>
      </c>
      <c r="E21" t="s">
        <v>226</v>
      </c>
    </row>
    <row r="23" spans="1:5" x14ac:dyDescent="0.3">
      <c r="A23" s="10" t="s">
        <v>229</v>
      </c>
    </row>
    <row r="24" spans="1:5" x14ac:dyDescent="0.3">
      <c r="A24" t="s">
        <v>230</v>
      </c>
      <c r="B24" t="s">
        <v>231</v>
      </c>
      <c r="C24" t="s">
        <v>232</v>
      </c>
      <c r="D24" s="6">
        <v>3200</v>
      </c>
      <c r="E24" t="s">
        <v>198</v>
      </c>
    </row>
    <row r="26" spans="1:5" x14ac:dyDescent="0.3">
      <c r="A26" s="10" t="s">
        <v>233</v>
      </c>
    </row>
    <row r="27" spans="1:5" x14ac:dyDescent="0.3">
      <c r="A27" t="s">
        <v>234</v>
      </c>
      <c r="B27" t="s">
        <v>235</v>
      </c>
      <c r="C27" t="s">
        <v>236</v>
      </c>
      <c r="D27" s="6">
        <v>2700</v>
      </c>
      <c r="E27" t="s">
        <v>237</v>
      </c>
    </row>
    <row r="28" spans="1:5" x14ac:dyDescent="0.3">
      <c r="A28" t="s">
        <v>238</v>
      </c>
      <c r="B28" t="s">
        <v>239</v>
      </c>
      <c r="C28" t="s">
        <v>240</v>
      </c>
      <c r="D28" s="6">
        <v>1100</v>
      </c>
      <c r="E28" t="s">
        <v>237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6c1e80-1de9-4bab-b8c8-1624be24ed3c}" enabled="1" method="Standard" siteId="{9ceb45d9-8994-49de-a178-bcc598fec3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VM and Cluster Sizing</vt:lpstr>
      <vt:lpstr>Storage Sizing</vt:lpstr>
      <vt:lpstr>Site Replication</vt:lpstr>
      <vt:lpstr>Bill of Materials</vt:lpstr>
      <vt:lpstr>Power and Rack</vt:lpstr>
      <vt:lpstr>Product Catalogue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Nauman Khan</dc:creator>
  <cp:lastModifiedBy>Nauman Khan</cp:lastModifiedBy>
  <dcterms:created xsi:type="dcterms:W3CDTF">2026-05-10T20:49:58Z</dcterms:created>
  <dcterms:modified xsi:type="dcterms:W3CDTF">2026-05-10T21:40:23Z</dcterms:modified>
</cp:coreProperties>
</file>